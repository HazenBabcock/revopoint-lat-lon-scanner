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cMaster order" sheetId="1" state="visible" r:id="rId3"/>
    <sheet name="Full BOM" sheetId="2" state="visible" r:id="rId4"/>
    <sheet name="Notes" sheetId="3" state="visible" r:id="rId5"/>
    <sheet name="By sub-assembl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<sst xmlns="http://schemas.openxmlformats.org/spreadsheetml/2006/main" count="427" uniqueCount="224">
  <si>
    <t xml:space="preserve">Revopoint scanner mount - McMaster-Carr order list</t>
  </si>
  <si>
    <t xml:space="preserve">Quantities are for one complete build, counted from every instance in assembly.FCStd (model saved 11 Oct 2026). The copper bar and the washers are added by hand (see Notes).</t>
  </si>
  <si>
    <t xml:space="preserve">Qty</t>
  </si>
  <si>
    <t xml:space="preserve">Part number</t>
  </si>
  <si>
    <t xml:space="preserve">Type</t>
  </si>
  <si>
    <t xml:space="preserve">Description</t>
  </si>
  <si>
    <t xml:space="preserve">Size</t>
  </si>
  <si>
    <t xml:space="preserve">Where used</t>
  </si>
  <si>
    <t xml:space="preserve">Screws</t>
  </si>
  <si>
    <t xml:space="preserve">91292A109</t>
  </si>
  <si>
    <t xml:space="preserve">Screw</t>
  </si>
  <si>
    <t xml:space="preserve">18-8 stainless socket head cap screw</t>
  </si>
  <si>
    <t xml:space="preserve">M3 x 0.5 mm, 4 mm long</t>
  </si>
  <si>
    <t xml:space="preserve">M3 x 8 mm standoff kit</t>
  </si>
  <si>
    <t xml:space="preserve">91292A111</t>
  </si>
  <si>
    <t xml:space="preserve">M3 x 0.5 mm, 6 mm long</t>
  </si>
  <si>
    <t xml:space="preserve">M3 x 31 mm standoff kit; Latitude stepper motor assembly; Longitude stepper motor assembly</t>
  </si>
  <si>
    <t xml:space="preserve">91292A112</t>
  </si>
  <si>
    <t xml:space="preserve">M3 x 0.5 mm, 8 mm long</t>
  </si>
  <si>
    <t xml:space="preserve">Lat/lon stage assembly; Longitude stepper mount assembly</t>
  </si>
  <si>
    <t xml:space="preserve">91292A113</t>
  </si>
  <si>
    <t xml:space="preserve">M3 x 0.5 mm, 10 mm long</t>
  </si>
  <si>
    <t xml:space="preserve">M3 x 8 mm standoff kit; M3 x 31 mm standoff kit</t>
  </si>
  <si>
    <t xml:space="preserve">91292A114</t>
  </si>
  <si>
    <t xml:space="preserve">M3 x 0.5 mm, 12 mm long</t>
  </si>
  <si>
    <t xml:space="preserve">91355A081</t>
  </si>
  <si>
    <t xml:space="preserve">Black-oxide alloy steel flanged button head screw</t>
  </si>
  <si>
    <t xml:space="preserve">1/4"-20, 1/2" long</t>
  </si>
  <si>
    <t xml:space="preserve">Foot bumper; 1/4"-20 x 63.5 mm standoff kit</t>
  </si>
  <si>
    <t xml:space="preserve">Nuts</t>
  </si>
  <si>
    <t xml:space="preserve">94150A325</t>
  </si>
  <si>
    <t xml:space="preserve">Nut</t>
  </si>
  <si>
    <t xml:space="preserve">316 stainless hex nut</t>
  </si>
  <si>
    <t xml:space="preserve">M3 x 0.5 mm, 5.5 mm wide, 2.4 mm thick</t>
  </si>
  <si>
    <t xml:space="preserve">Washers</t>
  </si>
  <si>
    <t xml:space="preserve">96659A106</t>
  </si>
  <si>
    <t xml:space="preserve">Washer</t>
  </si>
  <si>
    <t xml:space="preserve">18-8 stainless SAE washer</t>
  </si>
  <si>
    <t xml:space="preserve">1/4" screw size, 0.281" ID, 0.625" OD</t>
  </si>
  <si>
    <t xml:space="preserve">Scanner mount (not modeled)</t>
  </si>
  <si>
    <t xml:space="preserve">Standoffs</t>
  </si>
  <si>
    <t xml:space="preserve">95947A004</t>
  </si>
  <si>
    <t xml:space="preserve">Standoff</t>
  </si>
  <si>
    <t xml:space="preserve">Aluminum female-threaded hex standoff</t>
  </si>
  <si>
    <t xml:space="preserve">M3 x 0.5 mm, 8 mm long, 4.5 mm hex</t>
  </si>
  <si>
    <t xml:space="preserve">95947A063</t>
  </si>
  <si>
    <t xml:space="preserve">M3 x 0.5 mm, 31 mm long, 6 mm hex</t>
  </si>
  <si>
    <t xml:space="preserve">M3 x 31 mm standoff kit</t>
  </si>
  <si>
    <t xml:space="preserve">91780A363</t>
  </si>
  <si>
    <t xml:space="preserve">1/4"-20, 2-1/2" (63.5 mm) long, 1/2" hex</t>
  </si>
  <si>
    <t xml:space="preserve">1/4"-20 x 63.5 mm standoff kit</t>
  </si>
  <si>
    <t xml:space="preserve">Bumpers</t>
  </si>
  <si>
    <t xml:space="preserve">9546K551</t>
  </si>
  <si>
    <t xml:space="preserve">Bumper</t>
  </si>
  <si>
    <t xml:space="preserve">Neoprene bumper, threaded stud/insert</t>
  </si>
  <si>
    <t xml:space="preserve">3/4" dia x 5/8" high, 1/4"-20</t>
  </si>
  <si>
    <t xml:space="preserve">Foot bumper</t>
  </si>
  <si>
    <t xml:space="preserve">Knobs</t>
  </si>
  <si>
    <t xml:space="preserve">7129T33</t>
  </si>
  <si>
    <t xml:space="preserve">Knob</t>
  </si>
  <si>
    <t xml:space="preserve">Black phenolic five-arm knob</t>
  </si>
  <si>
    <t xml:space="preserve">32.6 mm across arms, approx. 5/16" threaded bore</t>
  </si>
  <si>
    <t xml:space="preserve">Top level (assembly)</t>
  </si>
  <si>
    <t xml:space="preserve">Bar stock</t>
  </si>
  <si>
    <t xml:space="preserve">89275K36</t>
  </si>
  <si>
    <t xml:space="preserve">Bar</t>
  </si>
  <si>
    <t xml:space="preserve">Multipurpose 110 copper bar</t>
  </si>
  <si>
    <t xml:space="preserve">1/2" thick, 1/2" wide, 1/2 ft (6") long</t>
  </si>
  <si>
    <t xml:space="preserve">Counterweights: cut into two ~1.25" (32 mm) pieces</t>
  </si>
  <si>
    <t xml:space="preserve">Total McMaster pieces</t>
  </si>
  <si>
    <t xml:space="preserve">Revopoint scanner mount - full bill of materials</t>
  </si>
  <si>
    <t xml:space="preserve">Part ref.</t>
  </si>
  <si>
    <t xml:space="preserve">Source</t>
  </si>
  <si>
    <t xml:space="preserve">McMaster-Carr hardware</t>
  </si>
  <si>
    <t xml:space="preserve">McMaster-Carr</t>
  </si>
  <si>
    <t xml:space="preserve">Laser-cut plates</t>
  </si>
  <si>
    <t xml:space="preserve">Plate</t>
  </si>
  <si>
    <t xml:space="preserve">Base plate</t>
  </si>
  <si>
    <t xml:space="preserve">374 x 352 x 6.7 mm</t>
  </si>
  <si>
    <t xml:space="preserve">Ponoko - 6.7mm Amber Bamboo Plywood - Laser Cutting</t>
  </si>
  <si>
    <t xml:space="preserve">Lat/lon plate</t>
  </si>
  <si>
    <t xml:space="preserve">230 x 140 x 6.7 mm</t>
  </si>
  <si>
    <t xml:space="preserve">Scanner mount plate</t>
  </si>
  <si>
    <t xml:space="preserve">268 x 228 x 6.7 mm</t>
  </si>
  <si>
    <t xml:space="preserve">3D printed parts</t>
  </si>
  <si>
    <t xml:space="preserve">Printed part</t>
  </si>
  <si>
    <t xml:space="preserve">Counterweight clamp</t>
  </si>
  <si>
    <t xml:space="preserve">22.5 x 14.9 x 14.7 mm</t>
  </si>
  <si>
    <t xml:space="preserve">Xometry - Nylon 12, White, Color: As Printed, Off White (Natural)</t>
  </si>
  <si>
    <t xml:space="preserve">Latitude stepper mount</t>
  </si>
  <si>
    <t xml:space="preserve">76 x 40 x 50 mm</t>
  </si>
  <si>
    <t xml:space="preserve">Longitude stepper mount</t>
  </si>
  <si>
    <t xml:space="preserve">138 x 30 x 50 mm</t>
  </si>
  <si>
    <t xml:space="preserve">Latitude idle arm</t>
  </si>
  <si>
    <t xml:space="preserve">37.8 x 40 x 23 mm</t>
  </si>
  <si>
    <t xml:space="preserve">Latitude stepper arm</t>
  </si>
  <si>
    <t xml:space="preserve">38.0 x 40 x 16 mm</t>
  </si>
  <si>
    <t xml:space="preserve">Longitude plate</t>
  </si>
  <si>
    <t xml:space="preserve">20.0 x 15 x 20 mm</t>
  </si>
  <si>
    <t xml:space="preserve">Cut from bar stock</t>
  </si>
  <si>
    <t xml:space="preserve">Counterweight, cut from copper bar</t>
  </si>
  <si>
    <t xml:space="preserve">1/2" x 1/2" x about 1.25" (32 mm) long</t>
  </si>
  <si>
    <t xml:space="preserve">Cut from McMaster-Carr 89275K36 (see McMaster order)</t>
  </si>
  <si>
    <t xml:space="preserve">Purchased electronics and motors</t>
  </si>
  <si>
    <t xml:space="preserve">Electronics</t>
  </si>
  <si>
    <t xml:space="preserve">BigTreeTech SKR Mini E3 V3.0 stepper controller board</t>
  </si>
  <si>
    <t xml:space="preserve">105.3 x 70.3 x 18.2 mm</t>
  </si>
  <si>
    <t xml:space="preserve">Purchased</t>
  </si>
  <si>
    <t xml:space="preserve">Motor</t>
  </si>
  <si>
    <t xml:space="preserve">STEPPERONLINE Nema 17 stepper motor, bipolar, 4-lead</t>
  </si>
  <si>
    <t xml:space="preserve">2 A, 55 Ncm, 1.8° step</t>
  </si>
  <si>
    <t xml:space="preserve">STEPPERONLINE (modeled as McMaster 6627T67)</t>
  </si>
  <si>
    <t xml:space="preserve">STEPPERONLINE Nema 17 pancake stepper motor, bipolar, 4-lead</t>
  </si>
  <si>
    <t xml:space="preserve">1 A, 17 Ncm, 1.8° step</t>
  </si>
  <si>
    <t xml:space="preserve">STEPPERONLINE (modeled as McMaster 6627T64)</t>
  </si>
  <si>
    <t xml:space="preserve">Cable</t>
  </si>
  <si>
    <t xml:space="preserve">Stepper motor cable, XH2.54 4-pin to 6-pin</t>
  </si>
  <si>
    <t xml:space="preserve">1.5 m</t>
  </si>
  <si>
    <t xml:space="preserve">Amazon, sold in 3-packs (one pack covers both motors)</t>
  </si>
  <si>
    <t xml:space="preserve">Power supply</t>
  </si>
  <si>
    <t xml:space="preserve">24 V DC power supply for the control board</t>
  </si>
  <si>
    <t xml:space="preserve">6 A, 100-240 V AC in, 5.5 x 2.1 mm jack with terminal connector</t>
  </si>
  <si>
    <t xml:space="preserve">Amazon</t>
  </si>
  <si>
    <t xml:space="preserve">Reference geometry (not purchased)</t>
  </si>
  <si>
    <t xml:space="preserve">Reference</t>
  </si>
  <si>
    <t xml:space="preserve">Revopoint scanner clamp joint</t>
  </si>
  <si>
    <t xml:space="preserve">-</t>
  </si>
  <si>
    <t xml:space="preserve">Reference geometry - not purchased</t>
  </si>
  <si>
    <t xml:space="preserve">Revopoint Mini scanner body</t>
  </si>
  <si>
    <t xml:space="preserve">Revopoint Mini tripod mount</t>
  </si>
  <si>
    <t xml:space="preserve">Revopoint scanner tripod receiver</t>
  </si>
  <si>
    <t xml:space="preserve">Scan test object (small bust)</t>
  </si>
  <si>
    <t xml:space="preserve">34.3 x 32.5 x 65.0 mm</t>
  </si>
  <si>
    <t xml:space="preserve">Total part instances in the build</t>
  </si>
  <si>
    <t xml:space="preserve">How this BOM was produced</t>
  </si>
  <si>
    <t xml:space="preserve">Source: assembly.FCStd, saved 11 Oct 2026 14:45.</t>
  </si>
  <si>
    <t xml:space="preserve">The whole assembly was opened in FreeCAD and every sub-assembly expanded, giving 108 individual part instances.</t>
  </si>
  <si>
    <t xml:space="preserve">Quantities on the "By sub-assembly" tab are the counted inputs (blue); every other quantity in this workbook is a formula.</t>
  </si>
  <si>
    <t xml:space="preserve">Fastener sizes were measured from the solid geometry, not taken from the part number:</t>
  </si>
  <si>
    <t xml:space="preserve">  - For socket head cap screws, length = overall length along the screw axis minus the measured 3.0 mm head height,</t>
  </si>
  <si>
    <t xml:space="preserve">    and the thread diameter is twice the measured shank radius. All five screws fall on the 91292A1xx M3 series</t>
  </si>
  <si>
    <t xml:space="preserve">    (A109 = 4 mm, A111 = 6 mm, A112 = 8 mm, A113 = 10 mm, A114 = 12 mm), which matches the measurements exactly.</t>
  </si>
  <si>
    <t xml:space="preserve">  - 91355A081 measures 15.80 mm overall over a 6.35 mm (1/4") shank, i.e. 1/4"-20 x 1/2" under a ~3.1 mm button head.</t>
  </si>
  <si>
    <t xml:space="preserve">  - 91780A363 measures 63.5 mm (2-1/2") long over a 12.4 mm (1/2") hex with a 1/4" bore, matching the</t>
  </si>
  <si>
    <t xml:space="preserve">    "standoff_q20_63mm" file name.</t>
  </si>
  <si>
    <t xml:space="preserve">  - 95947A063 measures exactly 31.0 mm long over a 6 mm hex with an M3 bore.</t>
  </si>
  <si>
    <t xml:space="preserve">Things to check before ordering:</t>
  </si>
  <si>
    <t xml:space="preserve">  - The five-arm knob (7129T33) has an approx. 7.9 mm (5/16") bore in the model. The knob is not jointed to anything</t>
  </si>
  <si>
    <t xml:space="preserve">    in the assembly, so its thread could not be confirmed from the geometry - confirm it against the McMaster listing.</t>
  </si>
  <si>
    <t xml:space="preserve">  - Apart from the motor cables, power supply and washers added below, the BOM has no wiring, belts, connectors or</t>
  </si>
  <si>
    <t xml:space="preserve">    fasteners for the SKR Mini E3 board beyond the four M3 standoff kits.</t>
  </si>
  <si>
    <t xml:space="preserve">  - The Revopoint scanner parts and the "small_head" test object are reference geometry, not items to buy.</t>
  </si>
  <si>
    <t xml:space="preserve">Added by hand on 27, 28 and 29 Oct 2026, not counted from the model:</t>
  </si>
  <si>
    <t xml:space="preserve">  - Counterweights: two ~1.25" (32 mm) pieces of 1/2" x 1/2" copper bar (McMaster-Carr 89275K36, 6" long), one held</t>
  </si>
  <si>
    <t xml:space="preserve">    in each counterweight clamp. The McMaster order rounds the pieces up to whole 6" bars, so one bar makes both.</t>
  </si>
  <si>
    <t xml:space="preserve">  - Motors: the model uses McMaster 6627T64 (longitude) and 6627T67 (latitude) as stand-ins, because they had CAD files.</t>
  </si>
  <si>
    <t xml:space="preserve">    The build uses a STEPPERONLINE Nema 17 pancake motor (1 A, 17 Ncm) for longitude and a STEPPERONLINE Nema 17</t>
  </si>
  <si>
    <t xml:space="preserve">    (2 A, 55 Ncm) for latitude, both bipolar, 1.8° step, 4-lead. They come from STEPPERONLINE, not McMaster-Carr.</t>
  </si>
  <si>
    <t xml:space="preserve">  - Motor cables: two 1.5 m stepper motor cables, XH2.54 4-pin to 6-pin, from Amazon, where they come in 3-packs</t>
  </si>
  <si>
    <t xml:space="preserve">    ("3Pcs 1.5M Stepper Motor Cables XH2.54 4Pin to 6Pin Terminal Motor Wires ..."). One pack covers both motors.</t>
  </si>
  <si>
    <t xml:space="preserve">  - Power supply (28 Oct): one 24 V, 6 A AC adapter (100-240 V AC in) for the SKR Mini E3 board, from Amazon:</t>
  </si>
  <si>
    <t xml:space="preserve">    "24V Power Supply, 24 Volt 6 Amp AC DC Adapter 100V-240V AC to 24V DC Power Supply with LED Terminal Connector,</t>
  </si>
  <si>
    <t xml:space="preserve">    5A 4A 3A 2A 1A DC Adapter with 5.5x2.1mm Jack".</t>
  </si>
  <si>
    <t xml:space="preserve">  - Washers (29 Oct): two 18-8 stainless SAE washers for 1/4" screws (0.281" ID, 0.625" OD), McMaster-Carr 96659A106,</t>
  </si>
  <si>
    <t xml:space="preserve">    used in mounting the scanner. The model doesn't show them.</t>
  </si>
  <si>
    <t xml:space="preserve">  - counter_weight.FCStd (exported to Xometry on 10 Oct) was an earlier counterweight design and is not part of the build.</t>
  </si>
  <si>
    <t xml:space="preserve">All 14 STEP files in the project's mcmaster/ folder are used in the model. Twelve are on the McMaster order; the other</t>
  </si>
  <si>
    <t xml:space="preserve">two are the stand-in motors.</t>
  </si>
  <si>
    <t xml:space="preserve">Sub-assembly</t>
  </si>
  <si>
    <t xml:space="preserve">Source file</t>
  </si>
  <si>
    <t xml:space="preserve">Instances in build</t>
  </si>
  <si>
    <t xml:space="preserve">Qty per instance</t>
  </si>
  <si>
    <t xml:space="preserve">Total qty</t>
  </si>
  <si>
    <t xml:space="preserve">assembly.FCStd</t>
  </si>
  <si>
    <t xml:space="preserve">Black phenolic five-arm knob - 32.6 mm across arms, approx. 5/16" threaded bore</t>
  </si>
  <si>
    <t xml:space="preserve">Scanner mount plate - 268 x 228 x 6.7 mm</t>
  </si>
  <si>
    <t xml:space="preserve">(not modeled)</t>
  </si>
  <si>
    <t xml:space="preserve">18-8 stainless SAE washer - 1/4" screw size, 0.281" ID, 0.625" OD</t>
  </si>
  <si>
    <t xml:space="preserve">Scan test object (small bust) - 34.3 x 32.5 x 65.0 mm</t>
  </si>
  <si>
    <t xml:space="preserve">Base plate assembly</t>
  </si>
  <si>
    <t xml:space="preserve">base_plate_assembly.FCStd</t>
  </si>
  <si>
    <t xml:space="preserve">BigTreeTech SKR Mini E3 V3.0 stepper controller board - 105.3 x 70.3 x 18.2 mm</t>
  </si>
  <si>
    <t xml:space="preserve">Base plate - 374 x 352 x 6.7 mm</t>
  </si>
  <si>
    <t xml:space="preserve">bumper.FCStd</t>
  </si>
  <si>
    <t xml:space="preserve">Neoprene bumper, threaded stud/insert - 3/4" dia x 5/8" high, 1/4"-20</t>
  </si>
  <si>
    <t xml:space="preserve">Black-oxide alloy steel flanged button head screw - 1/4"-20, 1/2" long</t>
  </si>
  <si>
    <t xml:space="preserve">standoff_m3_8mm.FCStd</t>
  </si>
  <si>
    <t xml:space="preserve">18-8 stainless socket head cap screw - M3 x 0.5 mm, 4 mm long</t>
  </si>
  <si>
    <t xml:space="preserve">18-8 stainless socket head cap screw - M3 x 0.5 mm, 10 mm long</t>
  </si>
  <si>
    <t xml:space="preserve">Aluminum female-threaded hex standoff - M3 x 0.5 mm, 8 mm long, 4.5 mm hex</t>
  </si>
  <si>
    <t xml:space="preserve">standoff_q20_63mm.FCStd</t>
  </si>
  <si>
    <t xml:space="preserve">Aluminum female-threaded hex standoff - 1/4"-20, 2-1/2" (63.5 mm) long, 1/2" hex</t>
  </si>
  <si>
    <t xml:space="preserve">Latitude stepper mount assembly</t>
  </si>
  <si>
    <t xml:space="preserve">stepper_lat_assembly.FCStd</t>
  </si>
  <si>
    <t xml:space="preserve">Latitude stepper mount - 76 x 40 x 50 mm</t>
  </si>
  <si>
    <t xml:space="preserve">standoff_m3_31mm.FCStd</t>
  </si>
  <si>
    <t xml:space="preserve">18-8 stainless socket head cap screw - M3 x 0.5 mm, 6 mm long</t>
  </si>
  <si>
    <t xml:space="preserve">Aluminum female-threaded hex standoff - M3 x 0.5 mm, 31 mm long, 6 mm hex</t>
  </si>
  <si>
    <t xml:space="preserve">Latitude stepper motor assembly</t>
  </si>
  <si>
    <t xml:space="preserve">stepper_lat.FCStd</t>
  </si>
  <si>
    <t xml:space="preserve">STEPPERONLINE Nema 17 stepper motor, bipolar, 4-lead - 2 A, 55 Ncm, 1.8° step</t>
  </si>
  <si>
    <t xml:space="preserve">Lat/lon stage assembly</t>
  </si>
  <si>
    <t xml:space="preserve">lat_lon_assembly.FCStd</t>
  </si>
  <si>
    <t xml:space="preserve">316 stainless hex nut - M3 x 0.5 mm, 5.5 mm wide, 2.4 mm thick</t>
  </si>
  <si>
    <t xml:space="preserve">Lat/lon plate - 230 x 140 x 6.7 mm</t>
  </si>
  <si>
    <t xml:space="preserve">Counterweight clamp - 22.5 x 14.9 x 14.7 mm</t>
  </si>
  <si>
    <t xml:space="preserve">Latitude idle arm - 37.8 x 40 x 23 mm</t>
  </si>
  <si>
    <t xml:space="preserve">Latitude stepper arm - 38.0 x 40 x 16 mm</t>
  </si>
  <si>
    <t xml:space="preserve">Counterweight, cut from copper bar - 1/2" x 1/2" x about 1.25" (32 mm) long</t>
  </si>
  <si>
    <t xml:space="preserve">18-8 stainless socket head cap screw - M3 x 0.5 mm, 8 mm long</t>
  </si>
  <si>
    <t xml:space="preserve">18-8 stainless socket head cap screw - M3 x 0.5 mm, 12 mm long</t>
  </si>
  <si>
    <t xml:space="preserve">Longitude stepper mount assembly</t>
  </si>
  <si>
    <t xml:space="preserve">stepper_lon_assembly.FCStd</t>
  </si>
  <si>
    <t xml:space="preserve">Longitude stepper mount - 138 x 30 x 50 mm</t>
  </si>
  <si>
    <t xml:space="preserve">Longitude plate - 20.0 x 15 x 20 mm</t>
  </si>
  <si>
    <t xml:space="preserve">Longitude stepper motor assembly</t>
  </si>
  <si>
    <t xml:space="preserve">stepper_lon.FCStd</t>
  </si>
  <si>
    <t xml:space="preserve">STEPPERONLINE Nema 17 pancake stepper motor, bipolar, 4-lead - 1 A, 17 Ncm, 1.8° step</t>
  </si>
  <si>
    <t xml:space="preserve">Wiring</t>
  </si>
  <si>
    <t xml:space="preserve">Stepper motor cable, XH2.54 4-pin to 6-pin - 1.5 m</t>
  </si>
  <si>
    <t xml:space="preserve">24 V DC power supply for the control board - 6 A, 100-240 V AC in, 5.5 x 2.1 mm jack with terminal connector</t>
  </si>
  <si>
    <t xml:space="preserve">Revopoint scanner (reference)</t>
  </si>
  <si>
    <t xml:space="preserve">revopoint_assembled.FCStd</t>
  </si>
  <si>
    <t xml:space="preserve">Total part instances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</si>
</sst>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EFEFE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4"/>
    <col collapsed="false" customWidth="true" hidden="false" outlineLevel="0" max="3" min="3" style="1" width="11"/>
    <col collapsed="false" customWidth="true" hidden="false" outlineLevel="0" max="4" min="4" style="1" width="52"/>
    <col collapsed="false" customWidth="true" hidden="false" outlineLevel="0" max="5" min="5" style="1" width="42"/>
    <col collapsed="false" customWidth="true" hidden="false" outlineLevel="0" max="6" min="6" style="1" width="46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true" outlineLevel="0" collapsed="false">
      <c r="A5" s="5" t="s">
        <v>8</v>
      </c>
      <c r="B5" s="6"/>
      <c r="C5" s="6"/>
      <c r="D5" s="6"/>
      <c r="E5" s="6"/>
      <c r="F5" s="6"/>
    </row>
    <row r="6" customFormat="false" ht="15" hidden="false" customHeight="true" outlineLevel="0" collapsed="false">
      <c r="A6" s="7" t="n">
        <f aca="false">SUMIFS('By sub-assembly'!$G$2:$G$41,'By sub-assembly'!$D$2:$D$41,$B6)</f>
        <v>4</v>
      </c>
      <c r="B6" s="8" t="s">
        <v>9</v>
      </c>
      <c r="C6" s="8" t="s">
        <v>10</v>
      </c>
      <c r="D6" s="8" t="s">
        <v>11</v>
      </c>
      <c r="E6" s="8" t="s">
        <v>12</v>
      </c>
      <c r="F6" s="9" t="s">
        <v>13</v>
      </c>
    </row>
    <row r="7" customFormat="false" ht="15" hidden="false" customHeight="true" outlineLevel="0" collapsed="false">
      <c r="A7" s="7" t="n">
        <f aca="false">SUMIFS('By sub-assembly'!$G$2:$G$41,'By sub-assembly'!$D$2:$D$41,$B7)</f>
        <v>16</v>
      </c>
      <c r="B7" s="8" t="s">
        <v>14</v>
      </c>
      <c r="C7" s="8" t="s">
        <v>10</v>
      </c>
      <c r="D7" s="8" t="s">
        <v>11</v>
      </c>
      <c r="E7" s="8" t="s">
        <v>15</v>
      </c>
      <c r="F7" s="9" t="s">
        <v>16</v>
      </c>
    </row>
    <row r="8" customFormat="false" ht="15" hidden="false" customHeight="true" outlineLevel="0" collapsed="false">
      <c r="A8" s="7" t="n">
        <f aca="false">SUMIFS('By sub-assembly'!$G$2:$G$41,'By sub-assembly'!$D$2:$D$41,$B8)</f>
        <v>2</v>
      </c>
      <c r="B8" s="8" t="s">
        <v>17</v>
      </c>
      <c r="C8" s="8" t="s">
        <v>10</v>
      </c>
      <c r="D8" s="8" t="s">
        <v>11</v>
      </c>
      <c r="E8" s="8" t="s">
        <v>18</v>
      </c>
      <c r="F8" s="9" t="s">
        <v>19</v>
      </c>
    </row>
    <row r="9" customFormat="false" ht="15" hidden="false" customHeight="true" outlineLevel="0" collapsed="false">
      <c r="A9" s="7" t="n">
        <f aca="false">SUMIFS('By sub-assembly'!$G$2:$G$41,'By sub-assembly'!$D$2:$D$41,$B9)</f>
        <v>12</v>
      </c>
      <c r="B9" s="8" t="s">
        <v>20</v>
      </c>
      <c r="C9" s="8" t="s">
        <v>10</v>
      </c>
      <c r="D9" s="8" t="s">
        <v>11</v>
      </c>
      <c r="E9" s="8" t="s">
        <v>21</v>
      </c>
      <c r="F9" s="9" t="s">
        <v>22</v>
      </c>
    </row>
    <row r="10" customFormat="false" ht="15" hidden="false" customHeight="true" outlineLevel="0" collapsed="false">
      <c r="A10" s="7" t="n">
        <f aca="false">SUMIFS('By sub-assembly'!$G$2:$G$41,'By sub-assembly'!$D$2:$D$41,$B10)</f>
        <v>10</v>
      </c>
      <c r="B10" s="8" t="s">
        <v>23</v>
      </c>
      <c r="C10" s="8" t="s">
        <v>10</v>
      </c>
      <c r="D10" s="8" t="s">
        <v>11</v>
      </c>
      <c r="E10" s="8" t="s">
        <v>24</v>
      </c>
      <c r="F10" s="9" t="s">
        <v>19</v>
      </c>
    </row>
    <row r="11" customFormat="false" ht="15" hidden="false" customHeight="true" outlineLevel="0" collapsed="false">
      <c r="A11" s="7" t="n">
        <f aca="false">SUMIFS('By sub-assembly'!$G$2:$G$41,'By sub-assembly'!$D$2:$D$41,$B11)</f>
        <v>12</v>
      </c>
      <c r="B11" s="8" t="s">
        <v>25</v>
      </c>
      <c r="C11" s="8" t="s">
        <v>10</v>
      </c>
      <c r="D11" s="8" t="s">
        <v>26</v>
      </c>
      <c r="E11" s="8" t="s">
        <v>27</v>
      </c>
      <c r="F11" s="9" t="s">
        <v>28</v>
      </c>
    </row>
    <row r="13" customFormat="false" ht="15" hidden="false" customHeight="true" outlineLevel="0" collapsed="false">
      <c r="A13" s="5" t="s">
        <v>29</v>
      </c>
      <c r="B13" s="6"/>
      <c r="C13" s="6"/>
      <c r="D13" s="6"/>
      <c r="E13" s="6"/>
      <c r="F13" s="6"/>
    </row>
    <row r="14" customFormat="false" ht="15" hidden="false" customHeight="true" outlineLevel="0" collapsed="false">
      <c r="A14" s="7" t="n">
        <f aca="false">SUMIFS('By sub-assembly'!$G$2:$G$41,'By sub-assembly'!$D$2:$D$41,$B14)</f>
        <v>12</v>
      </c>
      <c r="B14" s="8" t="s">
        <v>30</v>
      </c>
      <c r="C14" s="8" t="s">
        <v>31</v>
      </c>
      <c r="D14" s="8" t="s">
        <v>32</v>
      </c>
      <c r="E14" s="8" t="s">
        <v>33</v>
      </c>
      <c r="F14" s="9" t="s">
        <v>19</v>
      </c>
    </row>
    <row r="16" customFormat="false" ht="15" hidden="false" customHeight="true" outlineLevel="0" collapsed="false">
      <c r="A16" s="5" t="s">
        <v>34</v>
      </c>
      <c r="B16" s="6"/>
      <c r="C16" s="6"/>
      <c r="D16" s="6"/>
      <c r="E16" s="6"/>
      <c r="F16" s="6"/>
    </row>
    <row r="17" customFormat="false" ht="15" hidden="false" customHeight="true" outlineLevel="0" collapsed="false">
      <c r="A17" s="7" t="n">
        <f aca="false">SUMIFS('By sub-assembly'!$G$2:$G$41,'By sub-assembly'!$D$2:$D$41,$B17)</f>
        <v>2</v>
      </c>
      <c r="B17" s="8" t="s">
        <v>35</v>
      </c>
      <c r="C17" s="8" t="s">
        <v>36</v>
      </c>
      <c r="D17" s="8" t="s">
        <v>37</v>
      </c>
      <c r="E17" s="8" t="s">
        <v>38</v>
      </c>
      <c r="F17" s="9" t="s">
        <v>39</v>
      </c>
    </row>
    <row r="19" customFormat="false" ht="15" hidden="false" customHeight="true" outlineLevel="0" collapsed="false">
      <c r="A19" s="5" t="s">
        <v>40</v>
      </c>
      <c r="B19" s="6"/>
      <c r="C19" s="6"/>
      <c r="D19" s="6"/>
      <c r="E19" s="6"/>
      <c r="F19" s="6"/>
    </row>
    <row r="20" customFormat="false" ht="15" hidden="false" customHeight="true" outlineLevel="0" collapsed="false">
      <c r="A20" s="7" t="n">
        <f aca="false">SUMIFS('By sub-assembly'!$G$2:$G$41,'By sub-assembly'!$D$2:$D$41,$B20)</f>
        <v>4</v>
      </c>
      <c r="B20" s="8" t="s">
        <v>41</v>
      </c>
      <c r="C20" s="8" t="s">
        <v>42</v>
      </c>
      <c r="D20" s="8" t="s">
        <v>43</v>
      </c>
      <c r="E20" s="8" t="s">
        <v>44</v>
      </c>
      <c r="F20" s="9" t="s">
        <v>13</v>
      </c>
    </row>
    <row r="21" customFormat="false" ht="15" hidden="false" customHeight="true" outlineLevel="0" collapsed="false">
      <c r="A21" s="7" t="n">
        <f aca="false">SUMIFS('By sub-assembly'!$G$2:$G$41,'By sub-assembly'!$D$2:$D$41,$B21)</f>
        <v>8</v>
      </c>
      <c r="B21" s="8" t="s">
        <v>45</v>
      </c>
      <c r="C21" s="8" t="s">
        <v>42</v>
      </c>
      <c r="D21" s="8" t="s">
        <v>43</v>
      </c>
      <c r="E21" s="8" t="s">
        <v>46</v>
      </c>
      <c r="F21" s="9" t="s">
        <v>47</v>
      </c>
    </row>
    <row r="22" customFormat="false" ht="15" hidden="false" customHeight="true" outlineLevel="0" collapsed="false">
      <c r="A22" s="7" t="n">
        <f aca="false">SUMIFS('By sub-assembly'!$G$2:$G$41,'By sub-assembly'!$D$2:$D$41,$B22)</f>
        <v>4</v>
      </c>
      <c r="B22" s="8" t="s">
        <v>48</v>
      </c>
      <c r="C22" s="8" t="s">
        <v>42</v>
      </c>
      <c r="D22" s="8" t="s">
        <v>43</v>
      </c>
      <c r="E22" s="8" t="s">
        <v>49</v>
      </c>
      <c r="F22" s="9" t="s">
        <v>50</v>
      </c>
    </row>
    <row r="24" customFormat="false" ht="15" hidden="false" customHeight="true" outlineLevel="0" collapsed="false">
      <c r="A24" s="5" t="s">
        <v>51</v>
      </c>
      <c r="B24" s="6"/>
      <c r="C24" s="6"/>
      <c r="D24" s="6"/>
      <c r="E24" s="6"/>
      <c r="F24" s="6"/>
    </row>
    <row r="25" customFormat="false" ht="15" hidden="false" customHeight="true" outlineLevel="0" collapsed="false">
      <c r="A25" s="7" t="n">
        <f aca="false">SUMIFS('By sub-assembly'!$G$2:$G$41,'By sub-assembly'!$D$2:$D$41,$B25)</f>
        <v>4</v>
      </c>
      <c r="B25" s="8" t="s">
        <v>52</v>
      </c>
      <c r="C25" s="8" t="s">
        <v>53</v>
      </c>
      <c r="D25" s="8" t="s">
        <v>54</v>
      </c>
      <c r="E25" s="8" t="s">
        <v>55</v>
      </c>
      <c r="F25" s="9" t="s">
        <v>56</v>
      </c>
    </row>
    <row r="27" customFormat="false" ht="15" hidden="false" customHeight="true" outlineLevel="0" collapsed="false">
      <c r="A27" s="5" t="s">
        <v>57</v>
      </c>
      <c r="B27" s="6"/>
      <c r="C27" s="6"/>
      <c r="D27" s="6"/>
      <c r="E27" s="6"/>
      <c r="F27" s="6"/>
    </row>
    <row r="28" customFormat="false" ht="15" hidden="false" customHeight="true" outlineLevel="0" collapsed="false">
      <c r="A28" s="7" t="n">
        <f aca="false">SUMIFS('By sub-assembly'!$G$2:$G$41,'By sub-assembly'!$D$2:$D$41,$B28)</f>
        <v>1</v>
      </c>
      <c r="B28" s="8" t="s">
        <v>58</v>
      </c>
      <c r="C28" s="8" t="s">
        <v>59</v>
      </c>
      <c r="D28" s="8" t="s">
        <v>60</v>
      </c>
      <c r="E28" s="8" t="s">
        <v>61</v>
      </c>
      <c r="F28" s="9" t="s">
        <v>62</v>
      </c>
    </row>
    <row r="30" customFormat="false" ht="15" hidden="false" customHeight="true" outlineLevel="0" collapsed="false">
      <c r="A30" s="5" t="s">
        <v>63</v>
      </c>
      <c r="B30" s="6"/>
      <c r="C30" s="6"/>
      <c r="D30" s="6"/>
      <c r="E30" s="6"/>
      <c r="F30" s="6"/>
    </row>
    <row r="31" customFormat="false" ht="15" hidden="false" customHeight="true" outlineLevel="0" collapsed="false">
      <c r="A31" s="7" t="n">
        <f aca="false">ROUNDUP('Full BOM'!A33*1.25/6,0)</f>
        <v>1</v>
      </c>
      <c r="B31" s="8" t="s">
        <v>64</v>
      </c>
      <c r="C31" s="8" t="s">
        <v>65</v>
      </c>
      <c r="D31" s="8" t="s">
        <v>66</v>
      </c>
      <c r="E31" s="8" t="s">
        <v>67</v>
      </c>
      <c r="F31" s="9" t="s">
        <v>68</v>
      </c>
    </row>
    <row r="33" customFormat="false" ht="15" hidden="false" customHeight="true" outlineLevel="0" collapsed="false">
      <c r="A33" s="10" t="n">
        <f aca="false">SUM(A6:A32)</f>
        <v>92</v>
      </c>
      <c r="D33" s="10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4"/>
    <col collapsed="false" customWidth="true" hidden="false" outlineLevel="0" max="3" min="3" style="1" width="13"/>
    <col collapsed="false" customWidth="true" hidden="false" outlineLevel="0" max="4" min="4" style="1" width="54"/>
    <col collapsed="false" customWidth="true" hidden="false" outlineLevel="0" max="5" min="5" style="1" width="44"/>
    <col collapsed="false" customWidth="true" hidden="false" outlineLevel="0" max="6" min="6" style="1" width="64"/>
  </cols>
  <sheetData>
    <row r="1" customFormat="false" ht="17.25" hidden="false" customHeight="true" outlineLevel="0" collapsed="false">
      <c r="A1" s="2" t="s">
        <v>70</v>
      </c>
    </row>
    <row r="3" customFormat="false" ht="15" hidden="false" customHeight="true" outlineLevel="0" collapsed="false">
      <c r="A3" s="11" t="s">
        <v>2</v>
      </c>
      <c r="B3" s="11" t="s">
        <v>71</v>
      </c>
      <c r="C3" s="11" t="s">
        <v>4</v>
      </c>
      <c r="D3" s="11" t="s">
        <v>5</v>
      </c>
      <c r="E3" s="11" t="s">
        <v>6</v>
      </c>
      <c r="F3" s="11" t="s">
        <v>72</v>
      </c>
    </row>
    <row r="4" customFormat="false" ht="15" hidden="false" customHeight="true" outlineLevel="0" collapsed="false">
      <c r="A4" s="5" t="s">
        <v>73</v>
      </c>
      <c r="B4" s="6"/>
      <c r="C4" s="6"/>
      <c r="D4" s="6"/>
      <c r="E4" s="6"/>
      <c r="F4" s="6"/>
    </row>
    <row r="5" customFormat="false" ht="15" hidden="false" customHeight="true" outlineLevel="0" collapsed="false">
      <c r="A5" s="7" t="n">
        <f aca="false">'McMaster order'!A25</f>
        <v>4</v>
      </c>
      <c r="B5" s="8" t="s">
        <v>52</v>
      </c>
      <c r="C5" s="8" t="s">
        <v>53</v>
      </c>
      <c r="D5" s="8" t="s">
        <v>54</v>
      </c>
      <c r="E5" s="8" t="s">
        <v>55</v>
      </c>
      <c r="F5" s="8" t="s">
        <v>74</v>
      </c>
    </row>
    <row r="6" customFormat="false" ht="15" hidden="false" customHeight="true" outlineLevel="0" collapsed="false">
      <c r="A6" s="7" t="n">
        <f aca="false">'McMaster order'!A28</f>
        <v>1</v>
      </c>
      <c r="B6" s="8" t="s">
        <v>58</v>
      </c>
      <c r="C6" s="8" t="s">
        <v>59</v>
      </c>
      <c r="D6" s="8" t="s">
        <v>60</v>
      </c>
      <c r="E6" s="8" t="s">
        <v>61</v>
      </c>
      <c r="F6" s="8" t="s">
        <v>74</v>
      </c>
    </row>
    <row r="7" customFormat="false" ht="15" hidden="false" customHeight="true" outlineLevel="0" collapsed="false">
      <c r="A7" s="7" t="n">
        <f aca="false">'McMaster order'!A14</f>
        <v>12</v>
      </c>
      <c r="B7" s="8" t="s">
        <v>30</v>
      </c>
      <c r="C7" s="8" t="s">
        <v>31</v>
      </c>
      <c r="D7" s="8" t="s">
        <v>32</v>
      </c>
      <c r="E7" s="8" t="s">
        <v>33</v>
      </c>
      <c r="F7" s="8" t="s">
        <v>74</v>
      </c>
    </row>
    <row r="8" customFormat="false" ht="15" hidden="false" customHeight="true" outlineLevel="0" collapsed="false">
      <c r="A8" s="7" t="n">
        <f aca="false">'McMaster order'!A7</f>
        <v>16</v>
      </c>
      <c r="B8" s="8" t="s">
        <v>14</v>
      </c>
      <c r="C8" s="8" t="s">
        <v>10</v>
      </c>
      <c r="D8" s="8" t="s">
        <v>11</v>
      </c>
      <c r="E8" s="8" t="s">
        <v>15</v>
      </c>
      <c r="F8" s="8" t="s">
        <v>74</v>
      </c>
    </row>
    <row r="9" customFormat="false" ht="15" hidden="false" customHeight="true" outlineLevel="0" collapsed="false">
      <c r="A9" s="7" t="n">
        <f aca="false">'McMaster order'!A9</f>
        <v>12</v>
      </c>
      <c r="B9" s="8" t="s">
        <v>20</v>
      </c>
      <c r="C9" s="8" t="s">
        <v>10</v>
      </c>
      <c r="D9" s="8" t="s">
        <v>11</v>
      </c>
      <c r="E9" s="8" t="s">
        <v>21</v>
      </c>
      <c r="F9" s="8" t="s">
        <v>74</v>
      </c>
    </row>
    <row r="10" customFormat="false" ht="15" hidden="false" customHeight="true" outlineLevel="0" collapsed="false">
      <c r="A10" s="7" t="n">
        <f aca="false">'McMaster order'!A11</f>
        <v>12</v>
      </c>
      <c r="B10" s="8" t="s">
        <v>25</v>
      </c>
      <c r="C10" s="8" t="s">
        <v>10</v>
      </c>
      <c r="D10" s="8" t="s">
        <v>26</v>
      </c>
      <c r="E10" s="8" t="s">
        <v>27</v>
      </c>
      <c r="F10" s="8" t="s">
        <v>74</v>
      </c>
    </row>
    <row r="11" customFormat="false" ht="15" hidden="false" customHeight="true" outlineLevel="0" collapsed="false">
      <c r="A11" s="7" t="n">
        <f aca="false">'McMaster order'!A10</f>
        <v>10</v>
      </c>
      <c r="B11" s="8" t="s">
        <v>23</v>
      </c>
      <c r="C11" s="8" t="s">
        <v>10</v>
      </c>
      <c r="D11" s="8" t="s">
        <v>11</v>
      </c>
      <c r="E11" s="8" t="s">
        <v>24</v>
      </c>
      <c r="F11" s="8" t="s">
        <v>74</v>
      </c>
    </row>
    <row r="12" customFormat="false" ht="15" hidden="false" customHeight="true" outlineLevel="0" collapsed="false">
      <c r="A12" s="7" t="n">
        <f aca="false">'McMaster order'!A6</f>
        <v>4</v>
      </c>
      <c r="B12" s="8" t="s">
        <v>9</v>
      </c>
      <c r="C12" s="8" t="s">
        <v>10</v>
      </c>
      <c r="D12" s="8" t="s">
        <v>11</v>
      </c>
      <c r="E12" s="8" t="s">
        <v>12</v>
      </c>
      <c r="F12" s="8" t="s">
        <v>74</v>
      </c>
    </row>
    <row r="13" customFormat="false" ht="15" hidden="false" customHeight="true" outlineLevel="0" collapsed="false">
      <c r="A13" s="7" t="n">
        <f aca="false">'McMaster order'!A8</f>
        <v>2</v>
      </c>
      <c r="B13" s="8" t="s">
        <v>17</v>
      </c>
      <c r="C13" s="8" t="s">
        <v>10</v>
      </c>
      <c r="D13" s="8" t="s">
        <v>11</v>
      </c>
      <c r="E13" s="8" t="s">
        <v>18</v>
      </c>
      <c r="F13" s="8" t="s">
        <v>74</v>
      </c>
    </row>
    <row r="14" customFormat="false" ht="15" hidden="false" customHeight="true" outlineLevel="0" collapsed="false">
      <c r="A14" s="7" t="n">
        <f aca="false">'McMaster order'!A21</f>
        <v>8</v>
      </c>
      <c r="B14" s="8" t="s">
        <v>45</v>
      </c>
      <c r="C14" s="8" t="s">
        <v>42</v>
      </c>
      <c r="D14" s="8" t="s">
        <v>43</v>
      </c>
      <c r="E14" s="8" t="s">
        <v>46</v>
      </c>
      <c r="F14" s="8" t="s">
        <v>74</v>
      </c>
    </row>
    <row r="15" customFormat="false" ht="15" hidden="false" customHeight="true" outlineLevel="0" collapsed="false">
      <c r="A15" s="7" t="n">
        <f aca="false">'McMaster order'!A22</f>
        <v>4</v>
      </c>
      <c r="B15" s="8" t="s">
        <v>48</v>
      </c>
      <c r="C15" s="8" t="s">
        <v>42</v>
      </c>
      <c r="D15" s="8" t="s">
        <v>43</v>
      </c>
      <c r="E15" s="8" t="s">
        <v>49</v>
      </c>
      <c r="F15" s="8" t="s">
        <v>74</v>
      </c>
    </row>
    <row r="16" customFormat="false" ht="15" hidden="false" customHeight="true" outlineLevel="0" collapsed="false">
      <c r="A16" s="7" t="n">
        <f aca="false">'McMaster order'!A20</f>
        <v>4</v>
      </c>
      <c r="B16" s="8" t="s">
        <v>41</v>
      </c>
      <c r="C16" s="8" t="s">
        <v>42</v>
      </c>
      <c r="D16" s="8" t="s">
        <v>43</v>
      </c>
      <c r="E16" s="8" t="s">
        <v>44</v>
      </c>
      <c r="F16" s="8" t="s">
        <v>74</v>
      </c>
    </row>
    <row r="17" customFormat="false" ht="15" hidden="false" customHeight="true" outlineLevel="0" collapsed="false">
      <c r="A17" s="7" t="n">
        <f aca="false">'McMaster order'!A17</f>
        <v>2</v>
      </c>
      <c r="B17" s="8" t="s">
        <v>35</v>
      </c>
      <c r="C17" s="8" t="s">
        <v>36</v>
      </c>
      <c r="D17" s="8" t="s">
        <v>37</v>
      </c>
      <c r="E17" s="8" t="s">
        <v>38</v>
      </c>
      <c r="F17" s="8" t="s">
        <v>74</v>
      </c>
    </row>
    <row r="19" customFormat="false" ht="15" hidden="false" customHeight="true" outlineLevel="0" collapsed="false">
      <c r="A19" s="5" t="s">
        <v>75</v>
      </c>
      <c r="B19" s="6"/>
      <c r="C19" s="6"/>
      <c r="D19" s="6"/>
      <c r="E19" s="6"/>
      <c r="F19" s="6"/>
    </row>
    <row r="20" customFormat="false" ht="15" hidden="false" customHeight="true" outlineLevel="0" collapsed="false">
      <c r="A20" s="7" t="n">
        <f aca="false">SUMIFS('By sub-assembly'!$G$2:$G$41,'By sub-assembly'!$E$2:$E$41,$D20&amp;IF($E20="-",""," - "&amp;$E20))</f>
        <v>1</v>
      </c>
      <c r="B20" s="8"/>
      <c r="C20" s="8" t="s">
        <v>76</v>
      </c>
      <c r="D20" s="8" t="s">
        <v>77</v>
      </c>
      <c r="E20" s="8" t="s">
        <v>78</v>
      </c>
      <c r="F20" s="8" t="s">
        <v>79</v>
      </c>
    </row>
    <row r="21" customFormat="false" ht="15" hidden="false" customHeight="true" outlineLevel="0" collapsed="false">
      <c r="A21" s="7" t="n">
        <f aca="false">SUMIFS('By sub-assembly'!$G$2:$G$41,'By sub-assembly'!$E$2:$E$41,$D21&amp;IF($E21="-",""," - "&amp;$E21))</f>
        <v>1</v>
      </c>
      <c r="B21" s="8"/>
      <c r="C21" s="8" t="s">
        <v>76</v>
      </c>
      <c r="D21" s="8" t="s">
        <v>80</v>
      </c>
      <c r="E21" s="8" t="s">
        <v>81</v>
      </c>
      <c r="F21" s="8" t="s">
        <v>79</v>
      </c>
    </row>
    <row r="22" customFormat="false" ht="15" hidden="false" customHeight="true" outlineLevel="0" collapsed="false">
      <c r="A22" s="7" t="n">
        <f aca="false">SUMIFS('By sub-assembly'!$G$2:$G$41,'By sub-assembly'!$E$2:$E$41,$D22&amp;IF($E22="-",""," - "&amp;$E22))</f>
        <v>1</v>
      </c>
      <c r="B22" s="8"/>
      <c r="C22" s="8" t="s">
        <v>76</v>
      </c>
      <c r="D22" s="8" t="s">
        <v>82</v>
      </c>
      <c r="E22" s="8" t="s">
        <v>83</v>
      </c>
      <c r="F22" s="8" t="s">
        <v>79</v>
      </c>
    </row>
    <row r="24" customFormat="false" ht="15" hidden="false" customHeight="true" outlineLevel="0" collapsed="false">
      <c r="A24" s="5" t="s">
        <v>84</v>
      </c>
      <c r="B24" s="6"/>
      <c r="C24" s="6"/>
      <c r="D24" s="6"/>
      <c r="E24" s="6"/>
      <c r="F24" s="6"/>
    </row>
    <row r="25" customFormat="false" ht="15" hidden="false" customHeight="true" outlineLevel="0" collapsed="false">
      <c r="A25" s="7" t="n">
        <f aca="false">SUMIFS('By sub-assembly'!$G$2:$G$41,'By sub-assembly'!$E$2:$E$41,$D25&amp;IF($E25="-",""," - "&amp;$E25))</f>
        <v>2</v>
      </c>
      <c r="B25" s="8"/>
      <c r="C25" s="8" t="s">
        <v>85</v>
      </c>
      <c r="D25" s="8" t="s">
        <v>86</v>
      </c>
      <c r="E25" s="8" t="s">
        <v>87</v>
      </c>
      <c r="F25" s="8" t="s">
        <v>88</v>
      </c>
    </row>
    <row r="26" customFormat="false" ht="15" hidden="false" customHeight="true" outlineLevel="0" collapsed="false">
      <c r="A26" s="7" t="n">
        <f aca="false">SUMIFS('By sub-assembly'!$G$2:$G$41,'By sub-assembly'!$E$2:$E$41,$D26&amp;IF($E26="-",""," - "&amp;$E26))</f>
        <v>2</v>
      </c>
      <c r="B26" s="8"/>
      <c r="C26" s="8" t="s">
        <v>85</v>
      </c>
      <c r="D26" s="8" t="s">
        <v>89</v>
      </c>
      <c r="E26" s="8" t="s">
        <v>90</v>
      </c>
      <c r="F26" s="8" t="s">
        <v>88</v>
      </c>
    </row>
    <row r="27" customFormat="false" ht="15" hidden="false" customHeight="true" outlineLevel="0" collapsed="false">
      <c r="A27" s="7" t="n">
        <f aca="false">SUMIFS('By sub-assembly'!$G$2:$G$41,'By sub-assembly'!$E$2:$E$41,$D27&amp;IF($E27="-",""," - "&amp;$E27))</f>
        <v>1</v>
      </c>
      <c r="B27" s="8"/>
      <c r="C27" s="8" t="s">
        <v>85</v>
      </c>
      <c r="D27" s="8" t="s">
        <v>91</v>
      </c>
      <c r="E27" s="8" t="s">
        <v>92</v>
      </c>
      <c r="F27" s="8" t="s">
        <v>88</v>
      </c>
    </row>
    <row r="28" customFormat="false" ht="15" hidden="false" customHeight="true" outlineLevel="0" collapsed="false">
      <c r="A28" s="7" t="n">
        <f aca="false">SUMIFS('By sub-assembly'!$G$2:$G$41,'By sub-assembly'!$E$2:$E$41,$D28&amp;IF($E28="-",""," - "&amp;$E28))</f>
        <v>1</v>
      </c>
      <c r="B28" s="8"/>
      <c r="C28" s="8" t="s">
        <v>85</v>
      </c>
      <c r="D28" s="8" t="s">
        <v>93</v>
      </c>
      <c r="E28" s="8" t="s">
        <v>94</v>
      </c>
      <c r="F28" s="8" t="s">
        <v>88</v>
      </c>
    </row>
    <row r="29" customFormat="false" ht="15" hidden="false" customHeight="true" outlineLevel="0" collapsed="false">
      <c r="A29" s="7" t="n">
        <f aca="false">SUMIFS('By sub-assembly'!$G$2:$G$41,'By sub-assembly'!$E$2:$E$41,$D29&amp;IF($E29="-",""," - "&amp;$E29))</f>
        <v>1</v>
      </c>
      <c r="B29" s="8"/>
      <c r="C29" s="8" t="s">
        <v>85</v>
      </c>
      <c r="D29" s="8" t="s">
        <v>95</v>
      </c>
      <c r="E29" s="8" t="s">
        <v>96</v>
      </c>
      <c r="F29" s="8" t="s">
        <v>88</v>
      </c>
    </row>
    <row r="30" customFormat="false" ht="15" hidden="false" customHeight="true" outlineLevel="0" collapsed="false">
      <c r="A30" s="7" t="n">
        <f aca="false">SUMIFS('By sub-assembly'!$G$2:$G$41,'By sub-assembly'!$E$2:$E$41,$D30&amp;IF($E30="-",""," - "&amp;$E30))</f>
        <v>1</v>
      </c>
      <c r="B30" s="8"/>
      <c r="C30" s="8" t="s">
        <v>85</v>
      </c>
      <c r="D30" s="8" t="s">
        <v>97</v>
      </c>
      <c r="E30" s="8" t="s">
        <v>98</v>
      </c>
      <c r="F30" s="8" t="s">
        <v>88</v>
      </c>
    </row>
    <row r="32" customFormat="false" ht="15" hidden="false" customHeight="true" outlineLevel="0" collapsed="false">
      <c r="A32" s="5" t="s">
        <v>99</v>
      </c>
      <c r="B32" s="6"/>
      <c r="C32" s="6"/>
      <c r="D32" s="6"/>
      <c r="E32" s="6"/>
      <c r="F32" s="6"/>
    </row>
    <row r="33" customFormat="false" ht="15" hidden="false" customHeight="true" outlineLevel="0" collapsed="false">
      <c r="A33" s="7" t="n">
        <f aca="false">SUMIFS('By sub-assembly'!$G$2:$G$41,'By sub-assembly'!$E$2:$E$41,$D33&amp;IF($E33="-",""," - "&amp;$E33))</f>
        <v>2</v>
      </c>
      <c r="B33" s="8"/>
      <c r="C33" s="8" t="s">
        <v>63</v>
      </c>
      <c r="D33" s="8" t="s">
        <v>100</v>
      </c>
      <c r="E33" s="8" t="s">
        <v>101</v>
      </c>
      <c r="F33" s="8" t="s">
        <v>102</v>
      </c>
    </row>
    <row r="35" customFormat="false" ht="15" hidden="false" customHeight="true" outlineLevel="0" collapsed="false">
      <c r="A35" s="5" t="s">
        <v>103</v>
      </c>
      <c r="B35" s="6"/>
      <c r="C35" s="6"/>
      <c r="D35" s="6"/>
      <c r="E35" s="6"/>
      <c r="F35" s="6"/>
    </row>
    <row r="36" customFormat="false" ht="15" hidden="false" customHeight="true" outlineLevel="0" collapsed="false">
      <c r="A36" s="7" t="n">
        <f aca="false">SUMIFS('By sub-assembly'!$G$2:$G$41,'By sub-assembly'!$E$2:$E$41,$D36&amp;IF($E36="-",""," - "&amp;$E36))</f>
        <v>1</v>
      </c>
      <c r="B36" s="8"/>
      <c r="C36" s="8" t="s">
        <v>104</v>
      </c>
      <c r="D36" s="8" t="s">
        <v>105</v>
      </c>
      <c r="E36" s="8" t="s">
        <v>106</v>
      </c>
      <c r="F36" s="8" t="s">
        <v>107</v>
      </c>
    </row>
    <row r="37" customFormat="false" ht="15" hidden="false" customHeight="true" outlineLevel="0" collapsed="false">
      <c r="A37" s="7" t="n">
        <f aca="false">SUMIFS('By sub-assembly'!$G$2:$G$41,'By sub-assembly'!$E$2:$E$41,$D37&amp;IF($E37="-",""," - "&amp;$E37))</f>
        <v>1</v>
      </c>
      <c r="B37" s="8"/>
      <c r="C37" s="8" t="s">
        <v>108</v>
      </c>
      <c r="D37" s="8" t="s">
        <v>109</v>
      </c>
      <c r="E37" s="8" t="s">
        <v>110</v>
      </c>
      <c r="F37" s="8" t="s">
        <v>111</v>
      </c>
    </row>
    <row r="38" customFormat="false" ht="15" hidden="false" customHeight="true" outlineLevel="0" collapsed="false">
      <c r="A38" s="7" t="n">
        <f aca="false">SUMIFS('By sub-assembly'!$G$2:$G$41,'By sub-assembly'!$E$2:$E$41,$D38&amp;IF($E38="-",""," - "&amp;$E38))</f>
        <v>1</v>
      </c>
      <c r="B38" s="8"/>
      <c r="C38" s="8" t="s">
        <v>108</v>
      </c>
      <c r="D38" s="8" t="s">
        <v>112</v>
      </c>
      <c r="E38" s="8" t="s">
        <v>113</v>
      </c>
      <c r="F38" s="8" t="s">
        <v>114</v>
      </c>
    </row>
    <row r="39" customFormat="false" ht="15" hidden="false" customHeight="true" outlineLevel="0" collapsed="false">
      <c r="A39" s="7" t="n">
        <f aca="false">SUMIFS('By sub-assembly'!$G$2:$G$41,'By sub-assembly'!$E$2:$E$41,$D39&amp;IF($E39="-",""," - "&amp;$E39))</f>
        <v>2</v>
      </c>
      <c r="B39" s="8"/>
      <c r="C39" s="8" t="s">
        <v>115</v>
      </c>
      <c r="D39" s="8" t="s">
        <v>116</v>
      </c>
      <c r="E39" s="8" t="s">
        <v>117</v>
      </c>
      <c r="F39" s="8" t="s">
        <v>118</v>
      </c>
    </row>
    <row r="40" customFormat="false" ht="15" hidden="false" customHeight="true" outlineLevel="0" collapsed="false">
      <c r="A40" s="7" t="n">
        <f aca="false">SUMIFS('By sub-assembly'!$G$2:$G$41,'By sub-assembly'!$E$2:$E$41,$D40&amp;IF($E40="-",""," - "&amp;$E40))</f>
        <v>1</v>
      </c>
      <c r="B40" s="8"/>
      <c r="C40" s="8" t="s">
        <v>119</v>
      </c>
      <c r="D40" s="8" t="s">
        <v>120</v>
      </c>
      <c r="E40" s="8" t="s">
        <v>121</v>
      </c>
      <c r="F40" s="8" t="s">
        <v>122</v>
      </c>
    </row>
    <row r="42" customFormat="false" ht="15" hidden="false" customHeight="true" outlineLevel="0" collapsed="false">
      <c r="A42" s="5" t="s">
        <v>123</v>
      </c>
      <c r="B42" s="6"/>
      <c r="C42" s="6"/>
      <c r="D42" s="6"/>
      <c r="E42" s="6"/>
      <c r="F42" s="6"/>
    </row>
    <row r="43" customFormat="false" ht="15" hidden="false" customHeight="true" outlineLevel="0" collapsed="false">
      <c r="A43" s="7" t="n">
        <f aca="false">SUMIFS('By sub-assembly'!$G$2:$G$41,'By sub-assembly'!$E$2:$E$41,$D43&amp;IF($E43="-",""," - "&amp;$E43))</f>
        <v>1</v>
      </c>
      <c r="B43" s="8"/>
      <c r="C43" s="8" t="s">
        <v>124</v>
      </c>
      <c r="D43" s="8" t="s">
        <v>125</v>
      </c>
      <c r="E43" s="8" t="s">
        <v>126</v>
      </c>
      <c r="F43" s="8" t="s">
        <v>127</v>
      </c>
    </row>
    <row r="44" customFormat="false" ht="15" hidden="false" customHeight="true" outlineLevel="0" collapsed="false">
      <c r="A44" s="7" t="n">
        <f aca="false">SUMIFS('By sub-assembly'!$G$2:$G$41,'By sub-assembly'!$E$2:$E$41,$D44&amp;IF($E44="-",""," - "&amp;$E44))</f>
        <v>1</v>
      </c>
      <c r="B44" s="8"/>
      <c r="C44" s="8" t="s">
        <v>124</v>
      </c>
      <c r="D44" s="8" t="s">
        <v>128</v>
      </c>
      <c r="E44" s="8" t="s">
        <v>126</v>
      </c>
      <c r="F44" s="8" t="s">
        <v>127</v>
      </c>
    </row>
    <row r="45" customFormat="false" ht="15" hidden="false" customHeight="true" outlineLevel="0" collapsed="false">
      <c r="A45" s="7" t="n">
        <f aca="false">SUMIFS('By sub-assembly'!$G$2:$G$41,'By sub-assembly'!$E$2:$E$41,$D45&amp;IF($E45="-",""," - "&amp;$E45))</f>
        <v>1</v>
      </c>
      <c r="B45" s="8"/>
      <c r="C45" s="8" t="s">
        <v>124</v>
      </c>
      <c r="D45" s="8" t="s">
        <v>129</v>
      </c>
      <c r="E45" s="8" t="s">
        <v>126</v>
      </c>
      <c r="F45" s="8" t="s">
        <v>127</v>
      </c>
    </row>
    <row r="46" customFormat="false" ht="15" hidden="false" customHeight="true" outlineLevel="0" collapsed="false">
      <c r="A46" s="7" t="n">
        <f aca="false">SUMIFS('By sub-assembly'!$G$2:$G$41,'By sub-assembly'!$E$2:$E$41,$D46&amp;IF($E46="-",""," - "&amp;$E46))</f>
        <v>1</v>
      </c>
      <c r="B46" s="8"/>
      <c r="C46" s="8" t="s">
        <v>124</v>
      </c>
      <c r="D46" s="8" t="s">
        <v>130</v>
      </c>
      <c r="E46" s="8" t="s">
        <v>126</v>
      </c>
      <c r="F46" s="8" t="s">
        <v>127</v>
      </c>
    </row>
    <row r="47" customFormat="false" ht="15" hidden="false" customHeight="true" outlineLevel="0" collapsed="false">
      <c r="A47" s="7" t="n">
        <f aca="false">SUMIFS('By sub-assembly'!$G$2:$G$41,'By sub-assembly'!$E$2:$E$41,$D47&amp;IF($E47="-",""," - "&amp;$E47))</f>
        <v>1</v>
      </c>
      <c r="B47" s="8"/>
      <c r="C47" s="8" t="s">
        <v>124</v>
      </c>
      <c r="D47" s="8" t="s">
        <v>131</v>
      </c>
      <c r="E47" s="8" t="s">
        <v>132</v>
      </c>
      <c r="F47" s="8" t="s">
        <v>127</v>
      </c>
    </row>
    <row r="49" customFormat="false" ht="15" hidden="false" customHeight="true" outlineLevel="0" collapsed="false">
      <c r="A49" s="10" t="n">
        <f aca="false">SUM(A4:A48)</f>
        <v>115</v>
      </c>
      <c r="D49" s="10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5"/>
  </cols>
  <sheetData>
    <row r="1" customFormat="false" ht="17.25" hidden="false" customHeight="true" outlineLevel="0" collapsed="false">
      <c r="A1" s="2" t="s">
        <v>134</v>
      </c>
    </row>
    <row r="2" customFormat="false" ht="15" hidden="false" customHeight="true" outlineLevel="0" collapsed="false">
      <c r="A2" s="12"/>
    </row>
    <row r="3" customFormat="false" ht="15" hidden="false" customHeight="true" outlineLevel="0" collapsed="false">
      <c r="A3" s="12" t="s">
        <v>135</v>
      </c>
    </row>
    <row r="4" customFormat="false" ht="15" hidden="false" customHeight="true" outlineLevel="0" collapsed="false">
      <c r="A4" s="12" t="s">
        <v>136</v>
      </c>
    </row>
    <row r="5" customFormat="false" ht="15" hidden="false" customHeight="true" outlineLevel="0" collapsed="false">
      <c r="A5" s="12" t="s">
        <v>137</v>
      </c>
    </row>
    <row r="6" customFormat="false" ht="15" hidden="false" customHeight="true" outlineLevel="0" collapsed="false">
      <c r="A6" s="12"/>
    </row>
    <row r="7" customFormat="false" ht="15" hidden="false" customHeight="true" outlineLevel="0" collapsed="false">
      <c r="A7" s="10" t="s">
        <v>138</v>
      </c>
    </row>
    <row r="8" customFormat="false" ht="15" hidden="false" customHeight="true" outlineLevel="0" collapsed="false">
      <c r="A8" s="12" t="s">
        <v>139</v>
      </c>
    </row>
    <row r="9" customFormat="false" ht="15" hidden="false" customHeight="true" outlineLevel="0" collapsed="false">
      <c r="A9" s="12" t="s">
        <v>140</v>
      </c>
    </row>
    <row r="10" customFormat="false" ht="15" hidden="false" customHeight="true" outlineLevel="0" collapsed="false">
      <c r="A10" s="12" t="s">
        <v>141</v>
      </c>
    </row>
    <row r="11" customFormat="false" ht="15" hidden="false" customHeight="true" outlineLevel="0" collapsed="false">
      <c r="A11" s="12" t="s">
        <v>142</v>
      </c>
    </row>
    <row r="12" customFormat="false" ht="15" hidden="false" customHeight="true" outlineLevel="0" collapsed="false">
      <c r="A12" s="12" t="s">
        <v>143</v>
      </c>
    </row>
    <row r="13" customFormat="false" ht="15" hidden="false" customHeight="true" outlineLevel="0" collapsed="false">
      <c r="A13" s="12" t="s">
        <v>144</v>
      </c>
    </row>
    <row r="14" customFormat="false" ht="15" hidden="false" customHeight="true" outlineLevel="0" collapsed="false">
      <c r="A14" s="12" t="s">
        <v>145</v>
      </c>
    </row>
    <row r="15" customFormat="false" ht="15" hidden="false" customHeight="true" outlineLevel="0" collapsed="false">
      <c r="A15" s="12"/>
    </row>
    <row r="16" customFormat="false" ht="15" hidden="false" customHeight="true" outlineLevel="0" collapsed="false">
      <c r="A16" s="10" t="s">
        <v>146</v>
      </c>
    </row>
    <row r="17" customFormat="false" ht="15" hidden="false" customHeight="true" outlineLevel="0" collapsed="false">
      <c r="A17" s="12" t="s">
        <v>147</v>
      </c>
    </row>
    <row r="18" customFormat="false" ht="15" hidden="false" customHeight="true" outlineLevel="0" collapsed="false">
      <c r="A18" s="12" t="s">
        <v>148</v>
      </c>
    </row>
    <row r="19" customFormat="false" ht="15" hidden="false" customHeight="true" outlineLevel="0" collapsed="false">
      <c r="A19" s="12" t="s">
        <v>149</v>
      </c>
    </row>
    <row r="20" customFormat="false" ht="15" hidden="false" customHeight="true" outlineLevel="0" collapsed="false">
      <c r="A20" s="12" t="s">
        <v>150</v>
      </c>
    </row>
    <row r="21" customFormat="false" ht="15" hidden="false" customHeight="true" outlineLevel="0" collapsed="false">
      <c r="A21" s="12" t="s">
        <v>151</v>
      </c>
    </row>
    <row r="22" customFormat="false" ht="15" hidden="false" customHeight="true" outlineLevel="0" collapsed="false">
      <c r="A22" s="12"/>
    </row>
    <row r="23" customFormat="false" ht="15" hidden="false" customHeight="true" outlineLevel="0" collapsed="false">
      <c r="A23" s="10" t="s">
        <v>152</v>
      </c>
    </row>
    <row r="24" customFormat="false" ht="15" hidden="false" customHeight="true" outlineLevel="0" collapsed="false">
      <c r="A24" s="12" t="s">
        <v>153</v>
      </c>
    </row>
    <row r="25" customFormat="false" ht="15" hidden="false" customHeight="true" outlineLevel="0" collapsed="false">
      <c r="A25" s="12" t="s">
        <v>154</v>
      </c>
    </row>
    <row r="26" customFormat="false" ht="15" hidden="false" customHeight="true" outlineLevel="0" collapsed="false">
      <c r="A26" s="12" t="s">
        <v>155</v>
      </c>
    </row>
    <row r="27" customFormat="false" ht="15" hidden="false" customHeight="true" outlineLevel="0" collapsed="false">
      <c r="A27" s="12" t="s">
        <v>156</v>
      </c>
    </row>
    <row r="28" customFormat="false" ht="15" hidden="false" customHeight="true" outlineLevel="0" collapsed="false">
      <c r="A28" s="12" t="s">
        <v>157</v>
      </c>
    </row>
    <row r="29" customFormat="false" ht="15" hidden="false" customHeight="true" outlineLevel="0" collapsed="false">
      <c r="A29" s="12" t="s">
        <v>158</v>
      </c>
    </row>
    <row r="30" customFormat="false" ht="15" hidden="false" customHeight="true" outlineLevel="0" collapsed="false">
      <c r="A30" s="12" t="s">
        <v>159</v>
      </c>
    </row>
    <row r="31" customFormat="false" ht="15" hidden="false" customHeight="true" outlineLevel="0" collapsed="false">
      <c r="A31" s="12" t="s">
        <v>160</v>
      </c>
    </row>
    <row r="32" customFormat="false" ht="15" hidden="false" customHeight="true" outlineLevel="0" collapsed="false">
      <c r="A32" s="12" t="s">
        <v>161</v>
      </c>
    </row>
    <row r="33" customFormat="false" ht="15" hidden="false" customHeight="true" outlineLevel="0" collapsed="false">
      <c r="A33" s="12" t="s">
        <v>162</v>
      </c>
    </row>
    <row r="34" customFormat="false" ht="15" hidden="false" customHeight="true" outlineLevel="0" collapsed="false">
      <c r="A34" s="12" t="s">
        <v>163</v>
      </c>
    </row>
    <row r="35" customFormat="false" ht="15" hidden="false" customHeight="true" outlineLevel="0" collapsed="false">
      <c r="A35" s="12" t="s">
        <v>164</v>
      </c>
    </row>
    <row r="36" customFormat="false" ht="15" hidden="false" customHeight="true" outlineLevel="0" collapsed="false">
      <c r="A36" s="12" t="s">
        <v>165</v>
      </c>
    </row>
    <row r="37" customFormat="false" ht="15" hidden="false" customHeight="true" outlineLevel="0" collapsed="false">
      <c r="A37" s="12"/>
    </row>
    <row r="38" customFormat="false" ht="15" hidden="false" customHeight="true" outlineLevel="0" collapsed="false">
      <c r="A38" s="12" t="s">
        <v>166</v>
      </c>
    </row>
    <row r="39" customFormat="false" ht="15" hidden="false" customHeight="true" outlineLevel="0" collapsed="false">
      <c r="A39" s="12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6"/>
    <col collapsed="false" customWidth="true" hidden="false" outlineLevel="0" max="3" min="3" style="1" width="9"/>
    <col collapsed="false" customWidth="true" hidden="false" outlineLevel="0" max="4" min="4" style="1" width="12"/>
    <col collapsed="false" customWidth="true" hidden="false" outlineLevel="0" max="5" min="5" style="1" width="58"/>
    <col collapsed="false" customWidth="true" hidden="false" outlineLevel="0" max="7" min="6" style="1" width="9"/>
  </cols>
  <sheetData>
    <row r="1" customFormat="false" ht="15" hidden="false" customHeight="true" outlineLevel="0" collapsed="false">
      <c r="A1" s="1" t="s">
        <v>168</v>
      </c>
      <c r="B1" s="1" t="s">
        <v>169</v>
      </c>
      <c r="C1" s="1" t="s">
        <v>170</v>
      </c>
      <c r="D1" s="1" t="s">
        <v>71</v>
      </c>
      <c r="E1" s="1" t="s">
        <v>5</v>
      </c>
      <c r="F1" s="1" t="s">
        <v>171</v>
      </c>
      <c r="G1" s="1" t="s">
        <v>172</v>
      </c>
    </row>
    <row r="2" customFormat="false" ht="15" hidden="false" customHeight="true" outlineLevel="0" collapsed="false">
      <c r="A2" s="8" t="s">
        <v>62</v>
      </c>
      <c r="B2" s="9" t="s">
        <v>173</v>
      </c>
      <c r="C2" s="13" t="n">
        <v>1</v>
      </c>
      <c r="D2" s="8" t="s">
        <v>58</v>
      </c>
      <c r="E2" s="8" t="s">
        <v>174</v>
      </c>
      <c r="F2" s="13" t="n">
        <v>1</v>
      </c>
      <c r="G2" s="8" t="n">
        <f aca="false">C2*F2</f>
        <v>1</v>
      </c>
    </row>
    <row r="3" customFormat="false" ht="15" hidden="false" customHeight="true" outlineLevel="0" collapsed="false">
      <c r="A3" s="8" t="s">
        <v>62</v>
      </c>
      <c r="B3" s="9" t="s">
        <v>173</v>
      </c>
      <c r="C3" s="13" t="n">
        <v>1</v>
      </c>
      <c r="D3" s="8"/>
      <c r="E3" s="8" t="s">
        <v>175</v>
      </c>
      <c r="F3" s="13" t="n">
        <v>1</v>
      </c>
      <c r="G3" s="8" t="n">
        <f aca="false">C3*F3</f>
        <v>1</v>
      </c>
    </row>
    <row r="4" customFormat="false" ht="15" hidden="false" customHeight="true" outlineLevel="0" collapsed="false">
      <c r="A4" s="8" t="s">
        <v>62</v>
      </c>
      <c r="B4" s="9" t="s">
        <v>176</v>
      </c>
      <c r="C4" s="13" t="n">
        <v>1</v>
      </c>
      <c r="D4" s="8" t="s">
        <v>35</v>
      </c>
      <c r="E4" s="8" t="s">
        <v>177</v>
      </c>
      <c r="F4" s="13" t="n">
        <v>2</v>
      </c>
      <c r="G4" s="8" t="n">
        <f aca="false">C4*F4</f>
        <v>2</v>
      </c>
    </row>
    <row r="5" customFormat="false" ht="15" hidden="false" customHeight="true" outlineLevel="0" collapsed="false">
      <c r="A5" s="8" t="s">
        <v>62</v>
      </c>
      <c r="B5" s="9" t="s">
        <v>173</v>
      </c>
      <c r="C5" s="13" t="n">
        <v>1</v>
      </c>
      <c r="D5" s="8"/>
      <c r="E5" s="8" t="s">
        <v>178</v>
      </c>
      <c r="F5" s="13" t="n">
        <v>1</v>
      </c>
      <c r="G5" s="8" t="n">
        <f aca="false">C5*F5</f>
        <v>1</v>
      </c>
    </row>
    <row r="6" customFormat="false" ht="15" hidden="false" customHeight="true" outlineLevel="0" collapsed="false">
      <c r="A6" s="8" t="s">
        <v>179</v>
      </c>
      <c r="B6" s="9" t="s">
        <v>180</v>
      </c>
      <c r="C6" s="13" t="n">
        <v>1</v>
      </c>
      <c r="D6" s="8"/>
      <c r="E6" s="8" t="s">
        <v>181</v>
      </c>
      <c r="F6" s="13" t="n">
        <v>1</v>
      </c>
      <c r="G6" s="8" t="n">
        <f aca="false">C6*F6</f>
        <v>1</v>
      </c>
    </row>
    <row r="7" customFormat="false" ht="15" hidden="false" customHeight="true" outlineLevel="0" collapsed="false">
      <c r="A7" s="8" t="s">
        <v>179</v>
      </c>
      <c r="B7" s="9" t="s">
        <v>180</v>
      </c>
      <c r="C7" s="13" t="n">
        <v>1</v>
      </c>
      <c r="D7" s="8"/>
      <c r="E7" s="8" t="s">
        <v>182</v>
      </c>
      <c r="F7" s="13" t="n">
        <v>1</v>
      </c>
      <c r="G7" s="8" t="n">
        <f aca="false">C7*F7</f>
        <v>1</v>
      </c>
    </row>
    <row r="8" customFormat="false" ht="15" hidden="false" customHeight="true" outlineLevel="0" collapsed="false">
      <c r="A8" s="8" t="s">
        <v>56</v>
      </c>
      <c r="B8" s="9" t="s">
        <v>183</v>
      </c>
      <c r="C8" s="13" t="n">
        <v>4</v>
      </c>
      <c r="D8" s="8" t="s">
        <v>52</v>
      </c>
      <c r="E8" s="8" t="s">
        <v>184</v>
      </c>
      <c r="F8" s="13" t="n">
        <v>1</v>
      </c>
      <c r="G8" s="8" t="n">
        <f aca="false">C8*F8</f>
        <v>4</v>
      </c>
    </row>
    <row r="9" customFormat="false" ht="15" hidden="false" customHeight="true" outlineLevel="0" collapsed="false">
      <c r="A9" s="8" t="s">
        <v>56</v>
      </c>
      <c r="B9" s="9" t="s">
        <v>183</v>
      </c>
      <c r="C9" s="13" t="n">
        <v>4</v>
      </c>
      <c r="D9" s="8" t="s">
        <v>25</v>
      </c>
      <c r="E9" s="8" t="s">
        <v>185</v>
      </c>
      <c r="F9" s="13" t="n">
        <v>1</v>
      </c>
      <c r="G9" s="8" t="n">
        <f aca="false">C9*F9</f>
        <v>4</v>
      </c>
    </row>
    <row r="10" customFormat="false" ht="15" hidden="false" customHeight="true" outlineLevel="0" collapsed="false">
      <c r="A10" s="8" t="s">
        <v>13</v>
      </c>
      <c r="B10" s="9" t="s">
        <v>186</v>
      </c>
      <c r="C10" s="13" t="n">
        <v>4</v>
      </c>
      <c r="D10" s="8" t="s">
        <v>9</v>
      </c>
      <c r="E10" s="8" t="s">
        <v>187</v>
      </c>
      <c r="F10" s="13" t="n">
        <v>1</v>
      </c>
      <c r="G10" s="8" t="n">
        <f aca="false">C10*F10</f>
        <v>4</v>
      </c>
    </row>
    <row r="11" customFormat="false" ht="15" hidden="false" customHeight="true" outlineLevel="0" collapsed="false">
      <c r="A11" s="8" t="s">
        <v>13</v>
      </c>
      <c r="B11" s="9" t="s">
        <v>186</v>
      </c>
      <c r="C11" s="13" t="n">
        <v>4</v>
      </c>
      <c r="D11" s="8" t="s">
        <v>20</v>
      </c>
      <c r="E11" s="8" t="s">
        <v>188</v>
      </c>
      <c r="F11" s="13" t="n">
        <v>1</v>
      </c>
      <c r="G11" s="8" t="n">
        <f aca="false">C11*F11</f>
        <v>4</v>
      </c>
    </row>
    <row r="12" customFormat="false" ht="15" hidden="false" customHeight="true" outlineLevel="0" collapsed="false">
      <c r="A12" s="8" t="s">
        <v>13</v>
      </c>
      <c r="B12" s="9" t="s">
        <v>186</v>
      </c>
      <c r="C12" s="13" t="n">
        <v>4</v>
      </c>
      <c r="D12" s="8" t="s">
        <v>41</v>
      </c>
      <c r="E12" s="8" t="s">
        <v>189</v>
      </c>
      <c r="F12" s="13" t="n">
        <v>1</v>
      </c>
      <c r="G12" s="8" t="n">
        <f aca="false">C12*F12</f>
        <v>4</v>
      </c>
    </row>
    <row r="13" customFormat="false" ht="15" hidden="false" customHeight="true" outlineLevel="0" collapsed="false">
      <c r="A13" s="8" t="s">
        <v>50</v>
      </c>
      <c r="B13" s="9" t="s">
        <v>190</v>
      </c>
      <c r="C13" s="13" t="n">
        <v>4</v>
      </c>
      <c r="D13" s="8" t="s">
        <v>25</v>
      </c>
      <c r="E13" s="8" t="s">
        <v>185</v>
      </c>
      <c r="F13" s="13" t="n">
        <v>2</v>
      </c>
      <c r="G13" s="8" t="n">
        <f aca="false">C13*F13</f>
        <v>8</v>
      </c>
    </row>
    <row r="14" customFormat="false" ht="15" hidden="false" customHeight="true" outlineLevel="0" collapsed="false">
      <c r="A14" s="8" t="s">
        <v>50</v>
      </c>
      <c r="B14" s="9" t="s">
        <v>190</v>
      </c>
      <c r="C14" s="13" t="n">
        <v>4</v>
      </c>
      <c r="D14" s="8" t="s">
        <v>48</v>
      </c>
      <c r="E14" s="8" t="s">
        <v>191</v>
      </c>
      <c r="F14" s="13" t="n">
        <v>1</v>
      </c>
      <c r="G14" s="8" t="n">
        <f aca="false">C14*F14</f>
        <v>4</v>
      </c>
    </row>
    <row r="15" customFormat="false" ht="15" hidden="false" customHeight="true" outlineLevel="0" collapsed="false">
      <c r="A15" s="8" t="s">
        <v>192</v>
      </c>
      <c r="B15" s="9" t="s">
        <v>193</v>
      </c>
      <c r="C15" s="13" t="n">
        <v>2</v>
      </c>
      <c r="D15" s="8"/>
      <c r="E15" s="8" t="s">
        <v>194</v>
      </c>
      <c r="F15" s="13" t="n">
        <v>1</v>
      </c>
      <c r="G15" s="8" t="n">
        <f aca="false">C15*F15</f>
        <v>2</v>
      </c>
    </row>
    <row r="16" customFormat="false" ht="15" hidden="false" customHeight="true" outlineLevel="0" collapsed="false">
      <c r="A16" s="8" t="s">
        <v>47</v>
      </c>
      <c r="B16" s="9" t="s">
        <v>195</v>
      </c>
      <c r="C16" s="13" t="n">
        <v>8</v>
      </c>
      <c r="D16" s="8" t="s">
        <v>14</v>
      </c>
      <c r="E16" s="8" t="s">
        <v>196</v>
      </c>
      <c r="F16" s="13" t="n">
        <v>1</v>
      </c>
      <c r="G16" s="8" t="n">
        <f aca="false">C16*F16</f>
        <v>8</v>
      </c>
    </row>
    <row r="17" customFormat="false" ht="15" hidden="false" customHeight="true" outlineLevel="0" collapsed="false">
      <c r="A17" s="8" t="s">
        <v>47</v>
      </c>
      <c r="B17" s="9" t="s">
        <v>195</v>
      </c>
      <c r="C17" s="13" t="n">
        <v>8</v>
      </c>
      <c r="D17" s="8" t="s">
        <v>20</v>
      </c>
      <c r="E17" s="8" t="s">
        <v>188</v>
      </c>
      <c r="F17" s="13" t="n">
        <v>1</v>
      </c>
      <c r="G17" s="8" t="n">
        <f aca="false">C17*F17</f>
        <v>8</v>
      </c>
    </row>
    <row r="18" customFormat="false" ht="15" hidden="false" customHeight="true" outlineLevel="0" collapsed="false">
      <c r="A18" s="8" t="s">
        <v>47</v>
      </c>
      <c r="B18" s="9" t="s">
        <v>195</v>
      </c>
      <c r="C18" s="13" t="n">
        <v>8</v>
      </c>
      <c r="D18" s="8" t="s">
        <v>45</v>
      </c>
      <c r="E18" s="8" t="s">
        <v>197</v>
      </c>
      <c r="F18" s="13" t="n">
        <v>1</v>
      </c>
      <c r="G18" s="8" t="n">
        <f aca="false">C18*F18</f>
        <v>8</v>
      </c>
    </row>
    <row r="19" customFormat="false" ht="15" hidden="false" customHeight="true" outlineLevel="0" collapsed="false">
      <c r="A19" s="8" t="s">
        <v>198</v>
      </c>
      <c r="B19" s="9" t="s">
        <v>199</v>
      </c>
      <c r="C19" s="13" t="n">
        <v>1</v>
      </c>
      <c r="D19" s="8"/>
      <c r="E19" s="8" t="s">
        <v>200</v>
      </c>
      <c r="F19" s="13" t="n">
        <v>1</v>
      </c>
      <c r="G19" s="8" t="n">
        <f aca="false">C19*F19</f>
        <v>1</v>
      </c>
    </row>
    <row r="20" customFormat="false" ht="15" hidden="false" customHeight="true" outlineLevel="0" collapsed="false">
      <c r="A20" s="8" t="s">
        <v>198</v>
      </c>
      <c r="B20" s="9" t="s">
        <v>199</v>
      </c>
      <c r="C20" s="13" t="n">
        <v>1</v>
      </c>
      <c r="D20" s="8" t="s">
        <v>14</v>
      </c>
      <c r="E20" s="8" t="s">
        <v>196</v>
      </c>
      <c r="F20" s="13" t="n">
        <v>4</v>
      </c>
      <c r="G20" s="8" t="n">
        <f aca="false">C20*F20</f>
        <v>4</v>
      </c>
    </row>
    <row r="21" customFormat="false" ht="15" hidden="false" customHeight="true" outlineLevel="0" collapsed="false">
      <c r="A21" s="8" t="s">
        <v>201</v>
      </c>
      <c r="B21" s="9" t="s">
        <v>202</v>
      </c>
      <c r="C21" s="13" t="n">
        <v>1</v>
      </c>
      <c r="D21" s="8" t="s">
        <v>30</v>
      </c>
      <c r="E21" s="8" t="s">
        <v>203</v>
      </c>
      <c r="F21" s="13" t="n">
        <v>7</v>
      </c>
      <c r="G21" s="8" t="n">
        <f aca="false">C21*F21</f>
        <v>7</v>
      </c>
    </row>
    <row r="22" customFormat="false" ht="15" hidden="false" customHeight="true" outlineLevel="0" collapsed="false">
      <c r="A22" s="8" t="s">
        <v>201</v>
      </c>
      <c r="B22" s="9" t="s">
        <v>202</v>
      </c>
      <c r="C22" s="13" t="n">
        <v>1</v>
      </c>
      <c r="D22" s="8"/>
      <c r="E22" s="8" t="s">
        <v>204</v>
      </c>
      <c r="F22" s="13" t="n">
        <v>1</v>
      </c>
      <c r="G22" s="8" t="n">
        <f aca="false">C22*F22</f>
        <v>1</v>
      </c>
    </row>
    <row r="23" customFormat="false" ht="15" hidden="false" customHeight="true" outlineLevel="0" collapsed="false">
      <c r="A23" s="8" t="s">
        <v>201</v>
      </c>
      <c r="B23" s="9" t="s">
        <v>202</v>
      </c>
      <c r="C23" s="13" t="n">
        <v>1</v>
      </c>
      <c r="D23" s="8"/>
      <c r="E23" s="8" t="s">
        <v>205</v>
      </c>
      <c r="F23" s="13" t="n">
        <v>2</v>
      </c>
      <c r="G23" s="8" t="n">
        <f aca="false">C23*F23</f>
        <v>2</v>
      </c>
    </row>
    <row r="24" customFormat="false" ht="15" hidden="false" customHeight="true" outlineLevel="0" collapsed="false">
      <c r="A24" s="8" t="s">
        <v>201</v>
      </c>
      <c r="B24" s="9" t="s">
        <v>202</v>
      </c>
      <c r="C24" s="13" t="n">
        <v>1</v>
      </c>
      <c r="D24" s="8"/>
      <c r="E24" s="8" t="s">
        <v>206</v>
      </c>
      <c r="F24" s="13" t="n">
        <v>1</v>
      </c>
      <c r="G24" s="8" t="n">
        <f aca="false">C24*F24</f>
        <v>1</v>
      </c>
    </row>
    <row r="25" customFormat="false" ht="15" hidden="false" customHeight="true" outlineLevel="0" collapsed="false">
      <c r="A25" s="8" t="s">
        <v>201</v>
      </c>
      <c r="B25" s="9" t="s">
        <v>202</v>
      </c>
      <c r="C25" s="13" t="n">
        <v>1</v>
      </c>
      <c r="D25" s="8"/>
      <c r="E25" s="8" t="s">
        <v>207</v>
      </c>
      <c r="F25" s="13" t="n">
        <v>1</v>
      </c>
      <c r="G25" s="8" t="n">
        <f aca="false">C25*F25</f>
        <v>1</v>
      </c>
    </row>
    <row r="26" customFormat="false" ht="15" hidden="false" customHeight="true" outlineLevel="0" collapsed="false">
      <c r="A26" s="8" t="s">
        <v>201</v>
      </c>
      <c r="B26" s="9" t="s">
        <v>176</v>
      </c>
      <c r="C26" s="13" t="n">
        <v>1</v>
      </c>
      <c r="D26" s="8"/>
      <c r="E26" s="8" t="s">
        <v>208</v>
      </c>
      <c r="F26" s="13" t="n">
        <v>2</v>
      </c>
      <c r="G26" s="8" t="n">
        <f aca="false">C26*F26</f>
        <v>2</v>
      </c>
    </row>
    <row r="27" customFormat="false" ht="15" hidden="false" customHeight="true" outlineLevel="0" collapsed="false">
      <c r="A27" s="8" t="s">
        <v>201</v>
      </c>
      <c r="B27" s="9" t="s">
        <v>202</v>
      </c>
      <c r="C27" s="13" t="n">
        <v>1</v>
      </c>
      <c r="D27" s="8" t="s">
        <v>17</v>
      </c>
      <c r="E27" s="8" t="s">
        <v>209</v>
      </c>
      <c r="F27" s="13" t="n">
        <v>1</v>
      </c>
      <c r="G27" s="8" t="n">
        <f aca="false">C27*F27</f>
        <v>1</v>
      </c>
    </row>
    <row r="28" customFormat="false" ht="15" hidden="false" customHeight="true" outlineLevel="0" collapsed="false">
      <c r="A28" s="8" t="s">
        <v>201</v>
      </c>
      <c r="B28" s="9" t="s">
        <v>202</v>
      </c>
      <c r="C28" s="13" t="n">
        <v>1</v>
      </c>
      <c r="D28" s="8" t="s">
        <v>23</v>
      </c>
      <c r="E28" s="8" t="s">
        <v>210</v>
      </c>
      <c r="F28" s="13" t="n">
        <v>6</v>
      </c>
      <c r="G28" s="8" t="n">
        <f aca="false">C28*F28</f>
        <v>6</v>
      </c>
    </row>
    <row r="29" customFormat="false" ht="15" hidden="false" customHeight="true" outlineLevel="0" collapsed="false">
      <c r="A29" s="8" t="s">
        <v>211</v>
      </c>
      <c r="B29" s="9" t="s">
        <v>212</v>
      </c>
      <c r="C29" s="13" t="n">
        <v>1</v>
      </c>
      <c r="D29" s="8" t="s">
        <v>30</v>
      </c>
      <c r="E29" s="8" t="s">
        <v>203</v>
      </c>
      <c r="F29" s="13" t="n">
        <v>5</v>
      </c>
      <c r="G29" s="8" t="n">
        <f aca="false">C29*F29</f>
        <v>5</v>
      </c>
    </row>
    <row r="30" customFormat="false" ht="15" hidden="false" customHeight="true" outlineLevel="0" collapsed="false">
      <c r="A30" s="8" t="s">
        <v>211</v>
      </c>
      <c r="B30" s="9" t="s">
        <v>212</v>
      </c>
      <c r="C30" s="13" t="n">
        <v>1</v>
      </c>
      <c r="D30" s="8"/>
      <c r="E30" s="8" t="s">
        <v>213</v>
      </c>
      <c r="F30" s="13" t="n">
        <v>1</v>
      </c>
      <c r="G30" s="8" t="n">
        <f aca="false">C30*F30</f>
        <v>1</v>
      </c>
    </row>
    <row r="31" customFormat="false" ht="15" hidden="false" customHeight="true" outlineLevel="0" collapsed="false">
      <c r="A31" s="8" t="s">
        <v>211</v>
      </c>
      <c r="B31" s="9" t="s">
        <v>212</v>
      </c>
      <c r="C31" s="13" t="n">
        <v>1</v>
      </c>
      <c r="D31" s="8"/>
      <c r="E31" s="8" t="s">
        <v>214</v>
      </c>
      <c r="F31" s="13" t="n">
        <v>1</v>
      </c>
      <c r="G31" s="8" t="n">
        <f aca="false">C31*F31</f>
        <v>1</v>
      </c>
    </row>
    <row r="32" customFormat="false" ht="15" hidden="false" customHeight="true" outlineLevel="0" collapsed="false">
      <c r="A32" s="8" t="s">
        <v>211</v>
      </c>
      <c r="B32" s="9" t="s">
        <v>212</v>
      </c>
      <c r="C32" s="13" t="n">
        <v>1</v>
      </c>
      <c r="D32" s="8" t="s">
        <v>17</v>
      </c>
      <c r="E32" s="8" t="s">
        <v>209</v>
      </c>
      <c r="F32" s="13" t="n">
        <v>1</v>
      </c>
      <c r="G32" s="8" t="n">
        <f aca="false">C32*F32</f>
        <v>1</v>
      </c>
    </row>
    <row r="33" customFormat="false" ht="15" hidden="false" customHeight="true" outlineLevel="0" collapsed="false">
      <c r="A33" s="8" t="s">
        <v>211</v>
      </c>
      <c r="B33" s="9" t="s">
        <v>212</v>
      </c>
      <c r="C33" s="13" t="n">
        <v>1</v>
      </c>
      <c r="D33" s="8" t="s">
        <v>23</v>
      </c>
      <c r="E33" s="8" t="s">
        <v>210</v>
      </c>
      <c r="F33" s="13" t="n">
        <v>4</v>
      </c>
      <c r="G33" s="8" t="n">
        <f aca="false">C33*F33</f>
        <v>4</v>
      </c>
    </row>
    <row r="34" customFormat="false" ht="15" hidden="false" customHeight="true" outlineLevel="0" collapsed="false">
      <c r="A34" s="8" t="s">
        <v>215</v>
      </c>
      <c r="B34" s="9" t="s">
        <v>216</v>
      </c>
      <c r="C34" s="13" t="n">
        <v>1</v>
      </c>
      <c r="D34" s="8"/>
      <c r="E34" s="8" t="s">
        <v>217</v>
      </c>
      <c r="F34" s="13" t="n">
        <v>1</v>
      </c>
      <c r="G34" s="8" t="n">
        <f aca="false">C34*F34</f>
        <v>1</v>
      </c>
    </row>
    <row r="35" customFormat="false" ht="15" hidden="false" customHeight="true" outlineLevel="0" collapsed="false">
      <c r="A35" s="8" t="s">
        <v>215</v>
      </c>
      <c r="B35" s="9" t="s">
        <v>216</v>
      </c>
      <c r="C35" s="13" t="n">
        <v>1</v>
      </c>
      <c r="D35" s="8" t="s">
        <v>14</v>
      </c>
      <c r="E35" s="8" t="s">
        <v>196</v>
      </c>
      <c r="F35" s="13" t="n">
        <v>4</v>
      </c>
      <c r="G35" s="8" t="n">
        <f aca="false">C35*F35</f>
        <v>4</v>
      </c>
    </row>
    <row r="36" customFormat="false" ht="15" hidden="false" customHeight="true" outlineLevel="0" collapsed="false">
      <c r="A36" s="8" t="s">
        <v>218</v>
      </c>
      <c r="B36" s="9" t="s">
        <v>176</v>
      </c>
      <c r="C36" s="13" t="n">
        <v>1</v>
      </c>
      <c r="D36" s="8"/>
      <c r="E36" s="8" t="s">
        <v>219</v>
      </c>
      <c r="F36" s="13" t="n">
        <v>2</v>
      </c>
      <c r="G36" s="8" t="n">
        <f aca="false">C36*F36</f>
        <v>2</v>
      </c>
    </row>
    <row r="37" customFormat="false" ht="15" hidden="false" customHeight="true" outlineLevel="0" collapsed="false">
      <c r="A37" s="8" t="s">
        <v>218</v>
      </c>
      <c r="B37" s="9" t="s">
        <v>176</v>
      </c>
      <c r="C37" s="13" t="n">
        <v>1</v>
      </c>
      <c r="D37" s="8"/>
      <c r="E37" s="8" t="s">
        <v>220</v>
      </c>
      <c r="F37" s="13" t="n">
        <v>1</v>
      </c>
      <c r="G37" s="8" t="n">
        <f aca="false">C37*F37</f>
        <v>1</v>
      </c>
    </row>
    <row r="38" customFormat="false" ht="15" hidden="false" customHeight="true" outlineLevel="0" collapsed="false">
      <c r="A38" s="8" t="s">
        <v>221</v>
      </c>
      <c r="B38" s="9" t="s">
        <v>222</v>
      </c>
      <c r="C38" s="13" t="n">
        <v>1</v>
      </c>
      <c r="D38" s="8"/>
      <c r="E38" s="8" t="s">
        <v>125</v>
      </c>
      <c r="F38" s="13" t="n">
        <v>1</v>
      </c>
      <c r="G38" s="8" t="n">
        <f aca="false">C38*F38</f>
        <v>1</v>
      </c>
    </row>
    <row r="39" customFormat="false" ht="15" hidden="false" customHeight="true" outlineLevel="0" collapsed="false">
      <c r="A39" s="8" t="s">
        <v>221</v>
      </c>
      <c r="B39" s="9" t="s">
        <v>222</v>
      </c>
      <c r="C39" s="13" t="n">
        <v>1</v>
      </c>
      <c r="D39" s="8"/>
      <c r="E39" s="8" t="s">
        <v>128</v>
      </c>
      <c r="F39" s="13" t="n">
        <v>1</v>
      </c>
      <c r="G39" s="8" t="n">
        <f aca="false">C39*F39</f>
        <v>1</v>
      </c>
    </row>
    <row r="40" customFormat="false" ht="15" hidden="false" customHeight="true" outlineLevel="0" collapsed="false">
      <c r="A40" s="8" t="s">
        <v>221</v>
      </c>
      <c r="B40" s="9" t="s">
        <v>222</v>
      </c>
      <c r="C40" s="13" t="n">
        <v>1</v>
      </c>
      <c r="D40" s="8"/>
      <c r="E40" s="8" t="s">
        <v>129</v>
      </c>
      <c r="F40" s="13" t="n">
        <v>1</v>
      </c>
      <c r="G40" s="8" t="n">
        <f aca="false">C40*F40</f>
        <v>1</v>
      </c>
    </row>
    <row r="41" customFormat="false" ht="15" hidden="false" customHeight="true" outlineLevel="0" collapsed="false">
      <c r="A41" s="8" t="s">
        <v>221</v>
      </c>
      <c r="B41" s="9" t="s">
        <v>222</v>
      </c>
      <c r="C41" s="13" t="n">
        <v>1</v>
      </c>
      <c r="D41" s="8"/>
      <c r="E41" s="8" t="s">
        <v>130</v>
      </c>
      <c r="F41" s="13" t="n">
        <v>1</v>
      </c>
      <c r="G41" s="8" t="n">
        <f aca="false">C41*F41</f>
        <v>1</v>
      </c>
    </row>
    <row r="42" customFormat="false" ht="15" hidden="false" customHeight="true" outlineLevel="0" collapsed="false">
      <c r="F42" s="10" t="s">
        <v>223</v>
      </c>
      <c r="G42" s="10" t="n">
        <f aca="false">SUM(G2:G41)</f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2026-10-11T19:23:48Z</dcterms:created>
  <dc:creator>openpyxl</dc:creator>
  <dc:description/>
  <dc:language>en-US</dc:language>
  <cp:lastModifiedBy/>
  <dcterms:modified xsi:type="dcterms:W3CDTF">2026-10-29T13:41:05Z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